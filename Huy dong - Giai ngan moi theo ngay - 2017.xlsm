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ongNV\Code\VBA\"/>
    </mc:Choice>
  </mc:AlternateContent>
  <bookViews>
    <workbookView xWindow="240" yWindow="6000" windowWidth="15120" windowHeight="7425" activeTab="3"/>
  </bookViews>
  <sheets>
    <sheet name="Sheet1" sheetId="1" r:id="rId1"/>
    <sheet name="Deposit" sheetId="2" r:id="rId2"/>
    <sheet name="Loan" sheetId="3" r:id="rId3"/>
    <sheet name="Date" sheetId="4" r:id="rId4"/>
    <sheet name="Variable" sheetId="5" r:id="rId5"/>
  </sheets>
  <functionGroups builtInGroupCount="18"/>
  <definedNames>
    <definedName name="date">Table2[Date]</definedName>
    <definedName name="Query1" localSheetId="1" hidden="1">Deposit!$A$1:$M$145</definedName>
    <definedName name="Query1" localSheetId="2" hidden="1">Loan!$A$1:$N$59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DAILY_ETL_DATE_223f0e8c-85ea-4113-a7ce-7ce26dd6bad9" name="DAILY_ETL_DATE" connection="SqlServer 10.0.25.31 STG_T24"/>
        </x15:modelTables>
      </x15:dataModel>
    </ext>
  </extLst>
</workbook>
</file>

<file path=xl/calcChain.xml><?xml version="1.0" encoding="utf-8"?>
<calcChain xmlns="http://schemas.openxmlformats.org/spreadsheetml/2006/main">
  <c r="G3" i="1" l="1"/>
  <c r="F2" i="5" l="1"/>
  <c r="E2" i="5"/>
  <c r="B2" i="5"/>
  <c r="J7" i="1" l="1"/>
  <c r="J8" i="1"/>
  <c r="J13" i="1"/>
  <c r="J9" i="1"/>
  <c r="J10" i="1"/>
  <c r="J11" i="1"/>
  <c r="J12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6" i="1"/>
  <c r="I7" i="1"/>
  <c r="I8" i="1"/>
  <c r="I13" i="1"/>
  <c r="I9" i="1"/>
  <c r="I10" i="1"/>
  <c r="I11" i="1"/>
  <c r="I12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6" i="1"/>
  <c r="H7" i="1"/>
  <c r="H8" i="1"/>
  <c r="H13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6" i="1"/>
  <c r="G7" i="1"/>
  <c r="G8" i="1"/>
  <c r="G13" i="1"/>
  <c r="G9" i="1"/>
  <c r="G10" i="1"/>
  <c r="G11" i="1"/>
  <c r="G12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6" i="1"/>
  <c r="Q2" i="2"/>
  <c r="J36" i="1" l="1"/>
  <c r="I36" i="1"/>
  <c r="H36" i="1"/>
  <c r="F36" i="1"/>
  <c r="E36" i="1"/>
  <c r="D36" i="1"/>
  <c r="C36" i="1"/>
  <c r="G36" i="1" l="1"/>
</calcChain>
</file>

<file path=xl/connections.xml><?xml version="1.0" encoding="utf-8"?>
<connections xmlns="http://schemas.openxmlformats.org/spreadsheetml/2006/main">
  <connection id="1" name="Query1" type="1" refreshedVersion="5" savePassword="1" deleted="1" saveData="1">
    <dbPr connection="" command=""/>
    <parameters count="1">
      <parameter name="Parameter1" parameterType="cell" cell="Date!$A$2"/>
    </parameters>
  </connection>
  <connection id="2" name="Query11" type="1" refreshedVersion="5" savePassword="1" deleted="1" saveData="1">
    <dbPr connection="" command=""/>
    <parameters count="1">
      <parameter name="Parameter1" parameterType="cell" cell="Date!$A$2"/>
    </parameters>
  </connection>
  <connection id="3" name="SqlServer 10.0.25.31 STG_T24" type="100" refreshedVersion="5" savePassword="1" saveData="1">
    <extLst>
      <ext xmlns:x15="http://schemas.microsoft.com/office/spreadsheetml/2010/11/main" uri="{DE250136-89BD-433C-8126-D09CA5730AF9}">
        <x15:connection id="8752f822-058f-452c-994d-a97ea87b3df9">
          <x15:oledbPr connection="Provider=SQLNCLI11;Data Source=10.0.25.31;Initial Catalog=STG_T24;User ID=longnv2;Persist Security Info=true;Password=Hihu@0501">
            <x15:dbTables>
              <x15:dbTable name="DAILY_ETL_DATE"/>
            </x15:dbTables>
          </x15:oledbPr>
        </x15:connection>
      </ext>
    </extLst>
  </connection>
  <connection id="4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<sst xmlns="http://schemas.openxmlformats.org/spreadsheetml/2006/main" count="1731" uniqueCount="573">
  <si>
    <t xml:space="preserve">PVcomBank Châu Văn Liêm        </t>
  </si>
  <si>
    <t>VN0016000</t>
  </si>
  <si>
    <t>VN0016020</t>
  </si>
  <si>
    <t>VN0016100</t>
  </si>
  <si>
    <t>VN0016110</t>
  </si>
  <si>
    <t>VN0016200</t>
  </si>
  <si>
    <t>VN0016201</t>
  </si>
  <si>
    <t>VN0016202</t>
  </si>
  <si>
    <t>VN0016203</t>
  </si>
  <si>
    <t>VN0016204</t>
  </si>
  <si>
    <t>VN0016205</t>
  </si>
  <si>
    <t>VN0016206</t>
  </si>
  <si>
    <t>VN0016207</t>
  </si>
  <si>
    <t>VN0016208</t>
  </si>
  <si>
    <t>VN0016209</t>
  </si>
  <si>
    <t>VN0016210</t>
  </si>
  <si>
    <t>VN0016211</t>
  </si>
  <si>
    <t>VN0016212</t>
  </si>
  <si>
    <t>VN0016213</t>
  </si>
  <si>
    <t>VN0016214</t>
  </si>
  <si>
    <t>VN0016215</t>
  </si>
  <si>
    <t>VN0016216</t>
  </si>
  <si>
    <t>VN0016217</t>
  </si>
  <si>
    <t>VN0016218</t>
  </si>
  <si>
    <t>VN0016219</t>
  </si>
  <si>
    <t>VN0016300</t>
  </si>
  <si>
    <t>VN0016350</t>
  </si>
  <si>
    <t>VN0016400</t>
  </si>
  <si>
    <t>VN0016450</t>
  </si>
  <si>
    <t>VN0016500</t>
  </si>
  <si>
    <t>VN0016010</t>
  </si>
  <si>
    <t>Mã Chi Nhánh</t>
  </si>
  <si>
    <t>Tên Chi Nhánh</t>
  </si>
  <si>
    <t>Huy động mới</t>
  </si>
  <si>
    <t>Giải ngân mới</t>
  </si>
  <si>
    <t>Chi Nhánh Gia Định</t>
  </si>
  <si>
    <t>Chi Nhánh Hồ Chí Minh</t>
  </si>
  <si>
    <t>Chi Nhánh Nguyễn Văn Trỗi</t>
  </si>
  <si>
    <t>Chi Nhánh Sài Gòn</t>
  </si>
  <si>
    <t>Chi Nhanh Phú Nhuận</t>
  </si>
  <si>
    <t>Chi Nhánh Tân Bình</t>
  </si>
  <si>
    <t>Chi Nhánh Thủ Đức</t>
  </si>
  <si>
    <t>Chi Nhánh Hoàng Văn Thụ</t>
  </si>
  <si>
    <t>PVcomBank Bà Chiểu</t>
  </si>
  <si>
    <t>PVcomBank Bến Nghé</t>
  </si>
  <si>
    <t>PVcomBank Bình Chánh</t>
  </si>
  <si>
    <t>PVcomBank Bình Tây</t>
  </si>
  <si>
    <t>PVcomBank Bình Thạnh</t>
  </si>
  <si>
    <t>PVcomBank Cộng Hòa</t>
  </si>
  <si>
    <t>PVcomBank Gò Vấp</t>
  </si>
  <si>
    <t>PVcomBank Khánh Hội</t>
  </si>
  <si>
    <t>PVcomBank Lê Đại Hành</t>
  </si>
  <si>
    <t>PVcomBank Lê Văn Sỹ</t>
  </si>
  <si>
    <t>PVcomBank Nguyễn Thị Thập</t>
  </si>
  <si>
    <t>PVcomBank Phó Đức Chính</t>
  </si>
  <si>
    <t>PVcomBank Phú Mỹ Hưng</t>
  </si>
  <si>
    <t>PVcomBank Tân Định</t>
  </si>
  <si>
    <t>PVcomBank Tân Phú</t>
  </si>
  <si>
    <t>PVcomBank Tân Sơn Nhì</t>
  </si>
  <si>
    <t>PVcomBank Tân Thới</t>
  </si>
  <si>
    <t>PVcomBank Thành Thái</t>
  </si>
  <si>
    <t>PVcomBank Thị Nghè</t>
  </si>
  <si>
    <t>PVcomBank Tô Hiến Thành</t>
  </si>
  <si>
    <t>PVcomBank Võ Văn Tần</t>
  </si>
  <si>
    <t>TOTAL</t>
  </si>
  <si>
    <t>COB_DATE</t>
  </si>
  <si>
    <t>ARRANGEMENT_ID</t>
  </si>
  <si>
    <t>ACCOUNT_NO</t>
  </si>
  <si>
    <t>CIF</t>
  </si>
  <si>
    <t>CCY</t>
  </si>
  <si>
    <t>CATEGORY</t>
  </si>
  <si>
    <t>CURRENCY_MARKET</t>
  </si>
  <si>
    <t>BRANCH_CODE</t>
  </si>
  <si>
    <t>BRANCH_NAME</t>
  </si>
  <si>
    <t>VALUE_DATE</t>
  </si>
  <si>
    <t>MATURITY_DATE</t>
  </si>
  <si>
    <t>BALANCE</t>
  </si>
  <si>
    <t>VND</t>
  </si>
  <si>
    <t xml:space="preserve">PVcomBank Nguyễn Thị Thập      </t>
  </si>
  <si>
    <t xml:space="preserve">PVcomBank Thị Nghè             </t>
  </si>
  <si>
    <t xml:space="preserve">Chi Nhánh Sài Gòn              </t>
  </si>
  <si>
    <t xml:space="preserve">PVcomBank Gò Vấp               </t>
  </si>
  <si>
    <t xml:space="preserve">Chi Nhanh Thu Duc              </t>
  </si>
  <si>
    <t xml:space="preserve">Chi Nhánh Hồ Chí Minh          </t>
  </si>
  <si>
    <t xml:space="preserve">PVcomBank Võ Văn Tần           </t>
  </si>
  <si>
    <t xml:space="preserve">PVcomBank Phú Mỹ Hưng          </t>
  </si>
  <si>
    <t xml:space="preserve">Chi Nhánh Tân Bình             </t>
  </si>
  <si>
    <t xml:space="preserve">PVcomBank Bình Chánh           </t>
  </si>
  <si>
    <t xml:space="preserve">CN Hoàng Văn Thụ               </t>
  </si>
  <si>
    <t xml:space="preserve">Chi Nhánh Nguyễn Văn Trỗi      </t>
  </si>
  <si>
    <t xml:space="preserve">PVcomBank Tân Thới             </t>
  </si>
  <si>
    <t xml:space="preserve">PVcomBank Phó Đức Chính        </t>
  </si>
  <si>
    <t>Đơn vị: VND</t>
  </si>
  <si>
    <t>CONTRACT_NO_</t>
  </si>
  <si>
    <t>CUSTOMER_ID</t>
  </si>
  <si>
    <t>CURRENCY</t>
  </si>
  <si>
    <t>COMMITMENT_NO</t>
  </si>
  <si>
    <t>PRIN_AMT</t>
  </si>
  <si>
    <t>LD_AMT</t>
  </si>
  <si>
    <t>PD_AMT</t>
  </si>
  <si>
    <t>OUSTANDING_AMT</t>
  </si>
  <si>
    <t>6602</t>
  </si>
  <si>
    <t>1</t>
  </si>
  <si>
    <t>6605</t>
  </si>
  <si>
    <t>6610</t>
  </si>
  <si>
    <t>21002</t>
  </si>
  <si>
    <t>Date</t>
  </si>
  <si>
    <t>21053</t>
  </si>
  <si>
    <t xml:space="preserve">PVcomBank Tân Sơn Nhì          </t>
  </si>
  <si>
    <t>BÁO CÁO HUY ĐỘNG MỚI - GIẢI NGÂN MỚI THEO NGÀY</t>
  </si>
  <si>
    <t xml:space="preserve">PVcomBank Tân Phú              </t>
  </si>
  <si>
    <t xml:space="preserve">PVcomBank Khánh Hội            </t>
  </si>
  <si>
    <t xml:space="preserve">PVcomBank Tân Định             </t>
  </si>
  <si>
    <t>CUSTOMER_GROUP</t>
  </si>
  <si>
    <t>KHCN</t>
  </si>
  <si>
    <t>KHDN</t>
  </si>
  <si>
    <t xml:space="preserve">KHCN </t>
  </si>
  <si>
    <t>Ngày 06/05/2017</t>
  </si>
  <si>
    <t xml:space="preserve">PVcomBank Bình Thạnh           </t>
  </si>
  <si>
    <t xml:space="preserve">Chi Nhanh Phu Nhuan            </t>
  </si>
  <si>
    <t xml:space="preserve">PVcomBank Thành Thái           </t>
  </si>
  <si>
    <t xml:space="preserve">PVcomBank Cộng Hòa             </t>
  </si>
  <si>
    <t xml:space="preserve">PVcomBank Bình Tây             </t>
  </si>
  <si>
    <t xml:space="preserve">PVcomBank Tô Hiến Thành        </t>
  </si>
  <si>
    <t xml:space="preserve">PVcomBank Bến Nghé             </t>
  </si>
  <si>
    <t>237500000</t>
  </si>
  <si>
    <t>21003</t>
  </si>
  <si>
    <t>To</t>
  </si>
  <si>
    <t>Subject</t>
  </si>
  <si>
    <t>CC</t>
  </si>
  <si>
    <t>BCC</t>
  </si>
  <si>
    <t>Body</t>
  </si>
  <si>
    <t>Attachments</t>
  </si>
  <si>
    <t>Signature</t>
  </si>
  <si>
    <t>longnv2@pvcombank.com.vn</t>
  </si>
  <si>
    <t>C:/Users/longnv2/AppData/Roaming/Microsoft/Signatures/LongNV2.htm</t>
  </si>
  <si>
    <t>&lt;img src="C:/Users/longnv2/AppData/Roaming/Microsoft/Signatures/LongNV_files/image002.jpg"&gt;</t>
  </si>
  <si>
    <t xml:space="preserve">PVcomBank Bà Chiểu             </t>
  </si>
  <si>
    <t>1200000000</t>
  </si>
  <si>
    <t>1000000000</t>
  </si>
  <si>
    <t xml:space="preserve">Chi Nhánh Gia Định             </t>
  </si>
  <si>
    <t>100000000</t>
  </si>
  <si>
    <t>LD1705594875</t>
  </si>
  <si>
    <t>1500000000</t>
  </si>
  <si>
    <t>450000000</t>
  </si>
  <si>
    <t>200000000</t>
  </si>
  <si>
    <t>USD</t>
  </si>
  <si>
    <t xml:space="preserve">PVcomBank Lê Văn Sỹ            </t>
  </si>
  <si>
    <t>2500000000</t>
  </si>
  <si>
    <t>60000000</t>
  </si>
  <si>
    <t>4000000000</t>
  </si>
  <si>
    <t>3000000000</t>
  </si>
  <si>
    <t>150000000</t>
  </si>
  <si>
    <t>2017/05/17</t>
  </si>
  <si>
    <t>AA17137LQKMH</t>
  </si>
  <si>
    <t>408000087857</t>
  </si>
  <si>
    <t>AA17137NKQN4</t>
  </si>
  <si>
    <t>405000087559</t>
  </si>
  <si>
    <t>AA17137Y703R</t>
  </si>
  <si>
    <t>401000087631</t>
  </si>
  <si>
    <t>LD1713702286</t>
  </si>
  <si>
    <t>108000118396</t>
  </si>
  <si>
    <t>LD1713740471</t>
  </si>
  <si>
    <t>108000165177</t>
  </si>
  <si>
    <t>LD1713796230</t>
  </si>
  <si>
    <t>108000270212</t>
  </si>
  <si>
    <t>AA17137DXFQY</t>
  </si>
  <si>
    <t>402000087930</t>
  </si>
  <si>
    <t>LD1713704063</t>
  </si>
  <si>
    <t>107000267619</t>
  </si>
  <si>
    <t>LD1713727435</t>
  </si>
  <si>
    <t>104000259076</t>
  </si>
  <si>
    <t>LD1713738209</t>
  </si>
  <si>
    <t>LD1713745430</t>
  </si>
  <si>
    <t>105000263622</t>
  </si>
  <si>
    <t>LD1713755300</t>
  </si>
  <si>
    <t>428000027084</t>
  </si>
  <si>
    <t>429000027030</t>
  </si>
  <si>
    <t>AA171370ZWK8</t>
  </si>
  <si>
    <t>409000087803</t>
  </si>
  <si>
    <t>AA1713742FWD</t>
  </si>
  <si>
    <t>402000087538</t>
  </si>
  <si>
    <t>AA1713769236</t>
  </si>
  <si>
    <t>409000087901</t>
  </si>
  <si>
    <t>AA17137C3G5R</t>
  </si>
  <si>
    <t>402000087815</t>
  </si>
  <si>
    <t>AA17137SCS0C</t>
  </si>
  <si>
    <t>446000007332</t>
  </si>
  <si>
    <t>AA17137VDNHB</t>
  </si>
  <si>
    <t>449000007286</t>
  </si>
  <si>
    <t>LD1713700122</t>
  </si>
  <si>
    <t>101000046834</t>
  </si>
  <si>
    <t>LD1713702142</t>
  </si>
  <si>
    <t>107000406132</t>
  </si>
  <si>
    <t>LD1713705160</t>
  </si>
  <si>
    <t>102000107431</t>
  </si>
  <si>
    <t>LD1713736736</t>
  </si>
  <si>
    <t>105000137700</t>
  </si>
  <si>
    <t>LD1713779352</t>
  </si>
  <si>
    <t>103000410619</t>
  </si>
  <si>
    <t>421000027065</t>
  </si>
  <si>
    <t>AA1713765NS4</t>
  </si>
  <si>
    <t>448000007331</t>
  </si>
  <si>
    <t>AA17137HMTH5</t>
  </si>
  <si>
    <t>404000087652</t>
  </si>
  <si>
    <t>AA17137QXVH8</t>
  </si>
  <si>
    <t>443000007342</t>
  </si>
  <si>
    <t>AA17137WJ1S1</t>
  </si>
  <si>
    <t>406000087939</t>
  </si>
  <si>
    <t>LD1713760202</t>
  </si>
  <si>
    <t>108000253572</t>
  </si>
  <si>
    <t>AA17137GC81Q</t>
  </si>
  <si>
    <t>408000087759</t>
  </si>
  <si>
    <t>AA17137JJDNP</t>
  </si>
  <si>
    <t>403000087871</t>
  </si>
  <si>
    <t>AA17137M4MWQ</t>
  </si>
  <si>
    <t>408000087955</t>
  </si>
  <si>
    <t>AA17137PLZPW</t>
  </si>
  <si>
    <t>402000087958</t>
  </si>
  <si>
    <t>LD1713700836</t>
  </si>
  <si>
    <t>104000264939</t>
  </si>
  <si>
    <t>LD1713715308</t>
  </si>
  <si>
    <t>104000297990</t>
  </si>
  <si>
    <t>LD1713770790</t>
  </si>
  <si>
    <t>LD1713787905</t>
  </si>
  <si>
    <t>107000128977</t>
  </si>
  <si>
    <t>AA171372YJJR</t>
  </si>
  <si>
    <t>407000087902</t>
  </si>
  <si>
    <t>AA171376MT1C</t>
  </si>
  <si>
    <t>406000087794</t>
  </si>
  <si>
    <t>AA17137F7CDJ</t>
  </si>
  <si>
    <t>405000087688</t>
  </si>
  <si>
    <t>AA17137NBTBQ</t>
  </si>
  <si>
    <t>405000087609</t>
  </si>
  <si>
    <t>AA17137WS8WC</t>
  </si>
  <si>
    <t>403000087692</t>
  </si>
  <si>
    <t>LD1713755847</t>
  </si>
  <si>
    <t>LD1713787227</t>
  </si>
  <si>
    <t>102000178208</t>
  </si>
  <si>
    <t>LD1713799883</t>
  </si>
  <si>
    <t>427000027083</t>
  </si>
  <si>
    <t>AA17137NV6JN</t>
  </si>
  <si>
    <t>407000087575</t>
  </si>
  <si>
    <t>AA17137SGNQ2</t>
  </si>
  <si>
    <t>403000087563</t>
  </si>
  <si>
    <t>AA17137SRRWR</t>
  </si>
  <si>
    <t>402000087829</t>
  </si>
  <si>
    <t>AA17137WWJ89</t>
  </si>
  <si>
    <t>408000087606</t>
  </si>
  <si>
    <t>LD1713704167</t>
  </si>
  <si>
    <t>108000257380</t>
  </si>
  <si>
    <t>LD1713731968</t>
  </si>
  <si>
    <t>102000277921</t>
  </si>
  <si>
    <t>LD1713749266</t>
  </si>
  <si>
    <t>105000273731</t>
  </si>
  <si>
    <t>LD1713793114</t>
  </si>
  <si>
    <t>258000091301</t>
  </si>
  <si>
    <t>LD1713798047</t>
  </si>
  <si>
    <t>AA171376R4P9</t>
  </si>
  <si>
    <t>406000087889</t>
  </si>
  <si>
    <t>AA17137K214Y</t>
  </si>
  <si>
    <t>408000087907</t>
  </si>
  <si>
    <t>LD1713705487</t>
  </si>
  <si>
    <t>105000131234</t>
  </si>
  <si>
    <t>LD1713740998</t>
  </si>
  <si>
    <t>LD1713766161</t>
  </si>
  <si>
    <t>253000006432</t>
  </si>
  <si>
    <t>LD1713788141</t>
  </si>
  <si>
    <t>104000210184</t>
  </si>
  <si>
    <t>427000027021</t>
  </si>
  <si>
    <t>AA17137B7D8J</t>
  </si>
  <si>
    <t>405000087657</t>
  </si>
  <si>
    <t>AA17137DPKBX</t>
  </si>
  <si>
    <t>407000087792</t>
  </si>
  <si>
    <t>AA17137KHS0M</t>
  </si>
  <si>
    <t>442000007348</t>
  </si>
  <si>
    <t>AA17137R5LSD</t>
  </si>
  <si>
    <t>401000087841</t>
  </si>
  <si>
    <t>AA17137Z39ZT</t>
  </si>
  <si>
    <t>406000087861</t>
  </si>
  <si>
    <t>LD1713723564</t>
  </si>
  <si>
    <t>AA1713718J2H</t>
  </si>
  <si>
    <t>402000087751</t>
  </si>
  <si>
    <t>AA171378XJ8J</t>
  </si>
  <si>
    <t>402000087779</t>
  </si>
  <si>
    <t>AA17137FTQNN</t>
  </si>
  <si>
    <t>407000087852</t>
  </si>
  <si>
    <t>AA17137JCPWB</t>
  </si>
  <si>
    <t>402000087717</t>
  </si>
  <si>
    <t>AA17137P921S</t>
  </si>
  <si>
    <t>403000087952</t>
  </si>
  <si>
    <t>AA17137XXQHS</t>
  </si>
  <si>
    <t>442000007320</t>
  </si>
  <si>
    <t>AA17137Z4XSN</t>
  </si>
  <si>
    <t>408000087783</t>
  </si>
  <si>
    <t>LD1713756054</t>
  </si>
  <si>
    <t>AA171378CT8Z</t>
  </si>
  <si>
    <t>402000087541</t>
  </si>
  <si>
    <t>AA17137CJ1NN</t>
  </si>
  <si>
    <t>408000087945</t>
  </si>
  <si>
    <t>AA17137THV7B</t>
  </si>
  <si>
    <t>402000087619</t>
  </si>
  <si>
    <t>LD1713718424</t>
  </si>
  <si>
    <t>108000075978</t>
  </si>
  <si>
    <t>LD1713781973</t>
  </si>
  <si>
    <t>AA17137B0YD8</t>
  </si>
  <si>
    <t>407000087694</t>
  </si>
  <si>
    <t>AA17137K2ZW3</t>
  </si>
  <si>
    <t>409000087610</t>
  </si>
  <si>
    <t>LD1713711689</t>
  </si>
  <si>
    <t>LD1713724700</t>
  </si>
  <si>
    <t>101000408225</t>
  </si>
  <si>
    <t>LD1713736328</t>
  </si>
  <si>
    <t>102000274873</t>
  </si>
  <si>
    <t>LD1713746960</t>
  </si>
  <si>
    <t>104000224019</t>
  </si>
  <si>
    <t>LD1713770416</t>
  </si>
  <si>
    <t>426000027054</t>
  </si>
  <si>
    <t>AA17137290KP</t>
  </si>
  <si>
    <t>407000087890</t>
  </si>
  <si>
    <t>AA17137BXF2B</t>
  </si>
  <si>
    <t>408000087962</t>
  </si>
  <si>
    <t>AA17137K11L4</t>
  </si>
  <si>
    <t>406000087617</t>
  </si>
  <si>
    <t>AA17137Y6BGW</t>
  </si>
  <si>
    <t>406000087732</t>
  </si>
  <si>
    <t>AA17137YF3SS</t>
  </si>
  <si>
    <t>407000087947</t>
  </si>
  <si>
    <t>LD1713733000</t>
  </si>
  <si>
    <t>108000152354</t>
  </si>
  <si>
    <t>AA17137VX6LS</t>
  </si>
  <si>
    <t>404000087778</t>
  </si>
  <si>
    <t>LD1713709268</t>
  </si>
  <si>
    <t>103000185036</t>
  </si>
  <si>
    <t>LD1713740092</t>
  </si>
  <si>
    <t>LD1713749280</t>
  </si>
  <si>
    <t>105000272272</t>
  </si>
  <si>
    <t>LD1713752222</t>
  </si>
  <si>
    <t>108919981501</t>
  </si>
  <si>
    <t>AA17137B1LTS</t>
  </si>
  <si>
    <t>406000087634</t>
  </si>
  <si>
    <t>AA17137B7F9Z</t>
  </si>
  <si>
    <t>409000087543</t>
  </si>
  <si>
    <t>AA17137KMZ4W</t>
  </si>
  <si>
    <t>408000087752</t>
  </si>
  <si>
    <t>AA17137MCC0P</t>
  </si>
  <si>
    <t>406000087942</t>
  </si>
  <si>
    <t>AA17137PDH8R</t>
  </si>
  <si>
    <t>401000087791</t>
  </si>
  <si>
    <t>LD1713727404</t>
  </si>
  <si>
    <t>LD1713761037</t>
  </si>
  <si>
    <t>LD1713798869</t>
  </si>
  <si>
    <t>103000219086</t>
  </si>
  <si>
    <t>AA171371382R</t>
  </si>
  <si>
    <t>403000087921</t>
  </si>
  <si>
    <t>AA17137F0HV0</t>
  </si>
  <si>
    <t>405000087772</t>
  </si>
  <si>
    <t>AA17137N7RYY</t>
  </si>
  <si>
    <t>448000007349</t>
  </si>
  <si>
    <t>AA17137ZGKJV</t>
  </si>
  <si>
    <t>405000087822</t>
  </si>
  <si>
    <t>LD1713707405</t>
  </si>
  <si>
    <t>107000044397</t>
  </si>
  <si>
    <t>LD1713735903</t>
  </si>
  <si>
    <t>251000077261</t>
  </si>
  <si>
    <t>LD1713773967</t>
  </si>
  <si>
    <t>108919980385</t>
  </si>
  <si>
    <t>LD1713793949</t>
  </si>
  <si>
    <t>109000186103</t>
  </si>
  <si>
    <t>LD1713798792</t>
  </si>
  <si>
    <t>106000402753</t>
  </si>
  <si>
    <t>428000027005</t>
  </si>
  <si>
    <t>AA171371GXJ3</t>
  </si>
  <si>
    <t>444000007347</t>
  </si>
  <si>
    <t>AA171375TCQN</t>
  </si>
  <si>
    <t>401000087886</t>
  </si>
  <si>
    <t>LD1713753424</t>
  </si>
  <si>
    <t>251000091340</t>
  </si>
  <si>
    <t>LD1713757821</t>
  </si>
  <si>
    <t>104000166087</t>
  </si>
  <si>
    <t>LD1713763750</t>
  </si>
  <si>
    <t>103000410684</t>
  </si>
  <si>
    <t>LD1713771732</t>
  </si>
  <si>
    <t>254000086984</t>
  </si>
  <si>
    <t>LD1713771893</t>
  </si>
  <si>
    <t>103000100440</t>
  </si>
  <si>
    <t>LD1713780537</t>
  </si>
  <si>
    <t>107000261920</t>
  </si>
  <si>
    <t>LD1713798657</t>
  </si>
  <si>
    <t>259000012257</t>
  </si>
  <si>
    <t>AA171373DPYT</t>
  </si>
  <si>
    <t>402000087863</t>
  </si>
  <si>
    <t>AA1713785R9Z</t>
  </si>
  <si>
    <t>404000087683</t>
  </si>
  <si>
    <t>AA17137JV2CX</t>
  </si>
  <si>
    <t>445000007386</t>
  </si>
  <si>
    <t>LD1713717507</t>
  </si>
  <si>
    <t>LD1713722057</t>
  </si>
  <si>
    <t>251000091211</t>
  </si>
  <si>
    <t>LD1713756207</t>
  </si>
  <si>
    <t>104000256307</t>
  </si>
  <si>
    <t>LD1713788209</t>
  </si>
  <si>
    <t>252000091281</t>
  </si>
  <si>
    <t>425000027015</t>
  </si>
  <si>
    <t>AA171373HB02</t>
  </si>
  <si>
    <t>408000087650</t>
  </si>
  <si>
    <t>AA1713773PXJ</t>
  </si>
  <si>
    <t>409000087784</t>
  </si>
  <si>
    <t>AA17137FK7SV</t>
  </si>
  <si>
    <t>406000087858</t>
  </si>
  <si>
    <t>AA17137JSC3D</t>
  </si>
  <si>
    <t>404000087926</t>
  </si>
  <si>
    <t>AA17137TS148</t>
  </si>
  <si>
    <t>408000087928</t>
  </si>
  <si>
    <t>AA17137Y36YF</t>
  </si>
  <si>
    <t>449000007319</t>
  </si>
  <si>
    <t>LD1713780492</t>
  </si>
  <si>
    <t>104000212601</t>
  </si>
  <si>
    <t>LD1713729410</t>
  </si>
  <si>
    <t>LD1704854716</t>
  </si>
  <si>
    <t>4715084000</t>
  </si>
  <si>
    <t>LD1713701778</t>
  </si>
  <si>
    <t>LD1713744066</t>
  </si>
  <si>
    <t>996733333</t>
  </si>
  <si>
    <t>LD1713790818</t>
  </si>
  <si>
    <t>LD1713731425</t>
  </si>
  <si>
    <t>1280070000</t>
  </si>
  <si>
    <t>LD1713744027</t>
  </si>
  <si>
    <t>LD1713772906</t>
  </si>
  <si>
    <t>LD1709005304</t>
  </si>
  <si>
    <t>LD1713755013</t>
  </si>
  <si>
    <t>LD1707358724</t>
  </si>
  <si>
    <t>253909200</t>
  </si>
  <si>
    <t>LD1713775767</t>
  </si>
  <si>
    <t>LD1713780400</t>
  </si>
  <si>
    <t>99591250</t>
  </si>
  <si>
    <t>LD1713771470</t>
  </si>
  <si>
    <t>LD1709472397</t>
  </si>
  <si>
    <t>627000000</t>
  </si>
  <si>
    <t>LD1713781002</t>
  </si>
  <si>
    <t>LD1713778045</t>
  </si>
  <si>
    <t>228565694</t>
  </si>
  <si>
    <t>LD1713701790</t>
  </si>
  <si>
    <t>LD1713705730</t>
  </si>
  <si>
    <t>298208750</t>
  </si>
  <si>
    <t>LD1713705097</t>
  </si>
  <si>
    <t>LD1713745016</t>
  </si>
  <si>
    <t>LD1713750183</t>
  </si>
  <si>
    <t>LD1713751050</t>
  </si>
  <si>
    <t>LD1713725296</t>
  </si>
  <si>
    <t>LD1705344558</t>
  </si>
  <si>
    <t>21067</t>
  </si>
  <si>
    <t>78600</t>
  </si>
  <si>
    <t>LD1713777849</t>
  </si>
  <si>
    <t>LD1713776258</t>
  </si>
  <si>
    <t>LD1713738718</t>
  </si>
  <si>
    <t>LD1713701725</t>
  </si>
  <si>
    <t>49703611</t>
  </si>
  <si>
    <t>LD1713743139</t>
  </si>
  <si>
    <t>LD1713790086</t>
  </si>
  <si>
    <t>49867500</t>
  </si>
  <si>
    <t>LD1713708552</t>
  </si>
  <si>
    <t>LD1713758207</t>
  </si>
  <si>
    <t>489603788</t>
  </si>
  <si>
    <t>LD1713769002</t>
  </si>
  <si>
    <t>LD1713734107</t>
  </si>
  <si>
    <t>298277917</t>
  </si>
  <si>
    <t>LD1713706589</t>
  </si>
  <si>
    <t>LD1713760884</t>
  </si>
  <si>
    <t>149064583</t>
  </si>
  <si>
    <t>LD1713720023</t>
  </si>
  <si>
    <t>LD1713793350</t>
  </si>
  <si>
    <t>LD1713735591</t>
  </si>
  <si>
    <t>LD1713743220</t>
  </si>
  <si>
    <t>1900000000</t>
  </si>
  <si>
    <t>LD1713784600</t>
  </si>
  <si>
    <t>LD1708701000</t>
  </si>
  <si>
    <t>78089780</t>
  </si>
  <si>
    <t>LD1713742867</t>
  </si>
  <si>
    <t>LD1713732589</t>
  </si>
  <si>
    <t>298704583</t>
  </si>
  <si>
    <t>LD1713740700</t>
  </si>
  <si>
    <t>LD1713758580</t>
  </si>
  <si>
    <t>LD1713741303</t>
  </si>
  <si>
    <t>LD1713770422</t>
  </si>
  <si>
    <t>LD1713794471</t>
  </si>
  <si>
    <t>LD1713790054</t>
  </si>
  <si>
    <t>LD1713770699</t>
  </si>
  <si>
    <t>LD1713729004</t>
  </si>
  <si>
    <t>695955556</t>
  </si>
  <si>
    <t>LD1713784089</t>
  </si>
  <si>
    <t>LD1713707235</t>
  </si>
  <si>
    <t>994580556</t>
  </si>
  <si>
    <t>LD1713784914</t>
  </si>
  <si>
    <t>LD1713786801</t>
  </si>
  <si>
    <t>988338889</t>
  </si>
  <si>
    <t>LD1713741737</t>
  </si>
  <si>
    <t>LD1713787809</t>
  </si>
  <si>
    <t>997895833</t>
  </si>
  <si>
    <t>LD1713717876</t>
  </si>
  <si>
    <t>1104884000</t>
  </si>
  <si>
    <t>LD1713736314</t>
  </si>
  <si>
    <t>LD1713722434</t>
  </si>
  <si>
    <t>99508611</t>
  </si>
  <si>
    <t>LD1713739110</t>
  </si>
  <si>
    <t>LD1713770259</t>
  </si>
  <si>
    <t>2782437778</t>
  </si>
  <si>
    <t>LD1713736148</t>
  </si>
  <si>
    <t>LD1713721005</t>
  </si>
  <si>
    <t>99634306</t>
  </si>
  <si>
    <t>LD1713727713</t>
  </si>
  <si>
    <t>LD1713741504</t>
  </si>
  <si>
    <t>440000000</t>
  </si>
  <si>
    <t>LD1713700809</t>
  </si>
  <si>
    <t>LD1713790580</t>
  </si>
  <si>
    <t>1096776389</t>
  </si>
  <si>
    <t>LD1713780509</t>
  </si>
  <si>
    <t>36000</t>
  </si>
  <si>
    <t>LD1713700050</t>
  </si>
  <si>
    <t>LD1713732393</t>
  </si>
  <si>
    <t>497576500</t>
  </si>
  <si>
    <t>LD1713762058</t>
  </si>
  <si>
    <t>LD1713704866</t>
  </si>
  <si>
    <t>700000000</t>
  </si>
  <si>
    <t>LD1713774029</t>
  </si>
  <si>
    <t>LD1713747840</t>
  </si>
  <si>
    <t>198880833</t>
  </si>
  <si>
    <t>LD1713772700</t>
  </si>
  <si>
    <t>LD1713774341</t>
  </si>
  <si>
    <t>840000000</t>
  </si>
  <si>
    <t>LD1713707056</t>
  </si>
  <si>
    <t>LD1713772055</t>
  </si>
  <si>
    <t>LD1713748017</t>
  </si>
  <si>
    <t>LD1713704787</t>
  </si>
  <si>
    <t>660000000</t>
  </si>
  <si>
    <t>LD1713703207</t>
  </si>
  <si>
    <t>LD1713787850</t>
  </si>
  <si>
    <t>257539168</t>
  </si>
  <si>
    <t>LD1713707901</t>
  </si>
  <si>
    <t>LD1713720402</t>
  </si>
  <si>
    <t>LD1713784463</t>
  </si>
  <si>
    <t>LD1713741854</t>
  </si>
  <si>
    <t>LD1713764965</t>
  </si>
  <si>
    <t>LD1713774011</t>
  </si>
  <si>
    <t>692956250</t>
  </si>
  <si>
    <t>LD1713712799</t>
  </si>
  <si>
    <t>LD1713775900</t>
  </si>
  <si>
    <t>LD1713736050</t>
  </si>
  <si>
    <t>LD1713703006</t>
  </si>
  <si>
    <t>20000000</t>
  </si>
  <si>
    <t>LD1713720812</t>
  </si>
  <si>
    <t>LD1713717177</t>
  </si>
  <si>
    <t>1297264583</t>
  </si>
  <si>
    <t>LD1713787751</t>
  </si>
  <si>
    <t>LD1710930050</t>
  </si>
  <si>
    <t>LD1713762907</t>
  </si>
  <si>
    <t>LD1713729263</t>
  </si>
  <si>
    <t>2978466667</t>
  </si>
  <si>
    <t>LD1713771018</t>
  </si>
  <si>
    <t>LD1713705354</t>
  </si>
  <si>
    <t>LD1713733352</t>
  </si>
  <si>
    <t>LD1713736053</t>
  </si>
  <si>
    <t>LD1713776375</t>
  </si>
  <si>
    <t>LD1713767213</t>
  </si>
  <si>
    <t>1227736458</t>
  </si>
  <si>
    <t>LD1713731674</t>
  </si>
  <si>
    <t>LD1713779968</t>
  </si>
  <si>
    <t>992520833</t>
  </si>
  <si>
    <t>LD1713715758</t>
  </si>
  <si>
    <t>LD1713701361</t>
  </si>
  <si>
    <t>LD1713730775</t>
  </si>
  <si>
    <t>LD1713709549</t>
  </si>
  <si>
    <t>29822167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</si>
</sst>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F497D"/>
      <name val="Palatino Linotype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0" xfId="1" applyNumberFormat="1" applyFont="1"/>
    <xf numFmtId="0" fontId="2" fillId="0" borderId="0" xfId="0" applyFont="1"/>
    <xf numFmtId="0" fontId="0" fillId="0" borderId="1" xfId="0" applyBorder="1" applyAlignment="1">
      <alignment horizontal="left"/>
    </xf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14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0" fillId="0" borderId="0" xfId="0" applyFont="1"/>
    <xf numFmtId="0" fontId="2" fillId="0" borderId="0" xfId="0" applyFont="1" applyAlignment="1">
      <alignment horizontal="center" vertical="center"/>
    </xf>
    <xf numFmtId="164" fontId="0" fillId="0" borderId="1" xfId="1" applyNumberFormat="1" applyFont="1" applyBorder="1" applyAlignment="1">
      <alignment horizontal="left"/>
    </xf>
    <xf numFmtId="22" fontId="0" fillId="0" borderId="0" xfId="0" applyNumberFormat="1"/>
    <xf numFmtId="0" fontId="0" fillId="0" borderId="0" xfId="0" quotePrefix="1"/>
    <xf numFmtId="0" fontId="2" fillId="4" borderId="1" xfId="0" applyFont="1" applyFill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4" fillId="0" borderId="0" xfId="0" applyNumberFormat="1" applyFont="1" applyAlignment="1">
      <alignment horizontal="left" vertic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164" fontId="2" fillId="4" borderId="2" xfId="1" applyNumberFormat="1" applyFont="1" applyFill="1" applyBorder="1" applyAlignment="1">
      <alignment horizontal="center"/>
    </xf>
    <xf numFmtId="164" fontId="2" fillId="4" borderId="3" xfId="1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15"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color rgb="FF1F497D"/>
        <name val="Palatino Linotype"/>
        <scheme val="none"/>
      </font>
      <alignment horizontal="left" vertical="center" textRotation="0" wrapText="1" indent="0" justifyLastLine="0" shrinkToFit="0" readingOrder="0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0</xdr:rowOff>
        </xdr:from>
        <xdr:to>
          <xdr:col>9</xdr:col>
          <xdr:colOff>247650</xdr:colOff>
          <xdr:row>2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19050</xdr:rowOff>
        </xdr:from>
        <xdr:to>
          <xdr:col>5</xdr:col>
          <xdr:colOff>9525</xdr:colOff>
          <xdr:row>2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1" backgroundRefresh="0" connectionId="1" autoFormatId="16" applyNumberFormats="0" applyBorderFormats="0" applyFontFormats="0" applyPatternFormats="0" applyAlignmentFormats="0" applyWidthHeightFormats="0">
  <queryTableRefresh nextId="14">
    <queryTableFields count="13">
      <queryTableField id="1" name="COB_DATE" tableColumnId="1"/>
      <queryTableField id="2" name="ARRANGEMENT_ID" tableColumnId="2"/>
      <queryTableField id="3" name="ACCOUNT_NO" tableColumnId="3"/>
      <queryTableField id="4" name="CIF" tableColumnId="4"/>
      <queryTableField id="5" name="CCY" tableColumnId="5"/>
      <queryTableField id="6" name="CATEGORY" tableColumnId="6"/>
      <queryTableField id="7" name="CURRENCY_MARKET" tableColumnId="7"/>
      <queryTableField id="8" name="BRANCH_CODE" tableColumnId="8"/>
      <queryTableField id="9" name="BRANCH_NAME" tableColumnId="9"/>
      <queryTableField id="10" name="VALUE_DATE" tableColumnId="10"/>
      <queryTableField id="11" name="MATURITY_DATE" tableColumnId="11"/>
      <queryTableField id="12" name="BALANCE" tableColumnId="12"/>
      <queryTableField id="13" name="CUSTOMER_GROUP" tableColumnId="13"/>
    </queryTableFields>
  </queryTableRefresh>
</queryTable>
</file>

<file path=xl/queryTables/queryTable2.xml><?xml version="1.0" encoding="utf-8"?>
<queryTable xmlns="http://schemas.openxmlformats.org/spreadsheetml/2006/main" name="Query1" backgroundRefresh="0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CONTRACT_NO_" tableColumnId="1"/>
      <queryTableField id="2" name="CUSTOMER_ID" tableColumnId="2"/>
      <queryTableField id="3" name="CURRENCY" tableColumnId="3"/>
      <queryTableField id="4" name="BRANCH_CODE" tableColumnId="4"/>
      <queryTableField id="5" name="BRANCH_NAME" tableColumnId="5"/>
      <queryTableField id="6" name="VALUE_DATE" tableColumnId="6"/>
      <queryTableField id="7" name="MATURITY_DATE" tableColumnId="7"/>
      <queryTableField id="8" name="COMMITMENT_NO" tableColumnId="8"/>
      <queryTableField id="9" name="CATEGORY" tableColumnId="9"/>
      <queryTableField id="10" name="PRIN_AMT" tableColumnId="10"/>
      <queryTableField id="11" name="LD_AMT" tableColumnId="11"/>
      <queryTableField id="12" name="PD_AMT" tableColumnId="12"/>
      <queryTableField id="13" name="OUSTANDING_AMT" tableColumnId="13"/>
      <queryTableField id="14" name="CUSTOMER_GROUP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1" displayName="Table_Query1" ref="A1:M145" tableType="queryTable" totalsRowShown="0" headerRowDxfId="14">
  <autoFilter ref="A1:M145"/>
  <tableColumns count="13">
    <tableColumn id="1" uniqueName="1" name="COB_DATE" queryTableFieldId="1" dataDxfId="13"/>
    <tableColumn id="2" uniqueName="2" name="ARRANGEMENT_ID" queryTableFieldId="2"/>
    <tableColumn id="3" uniqueName="3" name="ACCOUNT_NO" queryTableFieldId="3"/>
    <tableColumn id="4" uniqueName="4" name="CIF" queryTableFieldId="4"/>
    <tableColumn id="5" uniqueName="5" name="CCY" queryTableFieldId="5"/>
    <tableColumn id="6" uniqueName="6" name="CATEGORY" queryTableFieldId="6"/>
    <tableColumn id="7" uniqueName="7" name="CURRENCY_MARKET" queryTableFieldId="7"/>
    <tableColumn id="8" uniqueName="8" name="BRANCH_CODE" queryTableFieldId="8"/>
    <tableColumn id="9" uniqueName="9" name="BRANCH_NAME" queryTableFieldId="9"/>
    <tableColumn id="10" uniqueName="10" name="VALUE_DATE" queryTableFieldId="10" dataDxfId="12"/>
    <tableColumn id="11" uniqueName="11" name="MATURITY_DATE" queryTableFieldId="11" dataDxfId="11"/>
    <tableColumn id="12" uniqueName="12" name="BALANCE" queryTableFieldId="12"/>
    <tableColumn id="13" uniqueName="13" name="CUSTOMER_GROUP" queryTableField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Query14" displayName="Table_Query14" ref="A1:N59" tableType="queryTable" totalsRowShown="0" headerRowDxfId="10">
  <autoFilter ref="A1:N59"/>
  <tableColumns count="14">
    <tableColumn id="1" uniqueName="1" name="CONTRACT_NO_" queryTableFieldId="1"/>
    <tableColumn id="2" uniqueName="2" name="CUSTOMER_ID" queryTableFieldId="2"/>
    <tableColumn id="3" uniqueName="3" name="CURRENCY" queryTableFieldId="3"/>
    <tableColumn id="4" uniqueName="4" name="BRANCH_CODE" queryTableFieldId="4"/>
    <tableColumn id="5" uniqueName="5" name="BRANCH_NAME" queryTableFieldId="5"/>
    <tableColumn id="6" uniqueName="6" name="VALUE_DATE" queryTableFieldId="6" dataDxfId="9"/>
    <tableColumn id="7" uniqueName="7" name="MATURITY_DATE" queryTableFieldId="7" dataDxfId="8"/>
    <tableColumn id="8" uniqueName="8" name="COMMITMENT_NO" queryTableFieldId="8"/>
    <tableColumn id="9" uniqueName="9" name="CATEGORY" queryTableFieldId="9"/>
    <tableColumn id="10" uniqueName="10" name="PRIN_AMT" queryTableFieldId="10"/>
    <tableColumn id="11" uniqueName="11" name="LD_AMT" queryTableFieldId="11"/>
    <tableColumn id="12" uniqueName="12" name="PD_AMT" queryTableFieldId="12"/>
    <tableColumn id="13" uniqueName="13" name="OUSTANDING_AMT" queryTableFieldId="13"/>
    <tableColumn id="14" uniqueName="14" name="CUSTOMER_GROUP" queryTableField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A2" totalsRowShown="0">
  <autoFilter ref="A1:A2"/>
  <tableColumns count="1">
    <tableColumn id="1" name="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5" displayName="Table25" ref="B1:B2" totalsRowShown="0">
  <autoFilter ref="B1:B2"/>
  <tableColumns count="1">
    <tableColumn id="1" name="D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" displayName="Table1" ref="A1:G4" totalsRowShown="0" dataDxfId="7">
  <autoFilter ref="A1:G4"/>
  <tableColumns count="7">
    <tableColumn id="1" name="To" dataDxfId="6"/>
    <tableColumn id="2" name="Subject" dataDxfId="5">
      <calculatedColumnFormula>CONCATENATE("Báo cáo Huy động, Giải ngân mới theo ngày cho HCM ngày " &amp; TEXT(Table2[Date],"yyyy/mm/dd"))</calculatedColumnFormula>
    </tableColumn>
    <tableColumn id="3" name="CC" dataDxfId="4"/>
    <tableColumn id="4" name="BCC" dataDxfId="3"/>
    <tableColumn id="5" name="Body" dataDxfId="2">
      <calculatedColumnFormula>CONCATENATE(" &lt;p style=""font-family:Palatino Linotype;color:#033a78""&gt; Kính gửi anh Phong, &lt;/p&gt;
&lt;p style=""font-family:Palatino Linotype;color:#033a78""&gt; Em gửi anh số liệu về giải ngân mới và huy động ngày " &amp; TEXT(F11, "dd/mm/yyyy") &amp; " cho vùng HCM. &lt;/p&gt; &lt;br&gt; ")</calculatedColumnFormula>
    </tableColumn>
    <tableColumn id="6" name="Attachments" dataDxfId="1">
      <calculatedColumnFormula xml:space="preserve"> CONCATENATE("D:\PVCB\Loan - Deposit new\Huy dong - Giai ngan moi theo ngay - " &amp; TEXT(Table2[Date],"yyyymmdd") &amp; ".xlsx")</calculatedColumnFormula>
    </tableColumn>
    <tableColumn id="7" name="Signat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mailto:longnv2@pvcombank.com.vn" TargetMode="External"/><Relationship Id="rId1" Type="http://schemas.openxmlformats.org/officeDocument/2006/relationships/hyperlink" Target="mailto:longnv2@pvcombank.com.v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6"/>
  <sheetViews>
    <sheetView showGridLines="0" topLeftCell="B1" workbookViewId="0">
      <pane ySplit="4" topLeftCell="A5" activePane="bottomLeft" state="frozen"/>
      <selection pane="bottomLeft" activeCell="F8" sqref="F8"/>
    </sheetView>
  </sheetViews>
  <sheetFormatPr defaultRowHeight="15" x14ac:dyDescent="0.25"/>
  <cols>
    <col min="1" max="1" width="14.140625" style="4" bestFit="1" customWidth="1"/>
    <col min="2" max="2" width="29.7109375" bestFit="1" customWidth="1"/>
    <col min="3" max="3" width="16.140625" customWidth="1"/>
    <col min="4" max="4" width="16.140625" style="21" customWidth="1"/>
    <col min="5" max="5" width="16.140625" customWidth="1"/>
    <col min="6" max="7" width="16.140625" style="3" customWidth="1"/>
    <col min="8" max="10" width="16.140625" style="1" customWidth="1"/>
    <col min="11" max="11" width="11" bestFit="1" customWidth="1"/>
    <col min="12" max="12" width="8.5703125" customWidth="1"/>
  </cols>
  <sheetData>
    <row r="1" spans="1:12" ht="30.75" customHeight="1" x14ac:dyDescent="0.25">
      <c r="A1" s="26" t="s">
        <v>109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s="12" customFormat="1" x14ac:dyDescent="0.25">
      <c r="A2" s="4"/>
      <c r="B2" s="13"/>
      <c r="C2" s="13"/>
      <c r="D2" s="13"/>
      <c r="E2" s="13"/>
      <c r="F2" s="13"/>
      <c r="G2" s="13"/>
      <c r="H2" s="10"/>
      <c r="I2" s="10"/>
      <c r="J2" s="11" t="s">
        <v>92</v>
      </c>
    </row>
    <row r="3" spans="1:12" x14ac:dyDescent="0.25">
      <c r="A3" s="27" t="s">
        <v>31</v>
      </c>
      <c r="B3" s="27" t="s">
        <v>32</v>
      </c>
      <c r="C3" s="30" t="s">
        <v>117</v>
      </c>
      <c r="D3" s="31"/>
      <c r="E3" s="31"/>
      <c r="F3" s="32"/>
      <c r="G3" s="30" t="str">
        <f xml:space="preserve"> CONCATENATE("Ngày",  " ", TEXT(Date!A2, "DD-MM-YYYY"))</f>
        <v>Ngày 17-05-2017</v>
      </c>
      <c r="H3" s="31"/>
      <c r="I3" s="31"/>
      <c r="J3" s="32"/>
    </row>
    <row r="4" spans="1:12" s="4" customFormat="1" x14ac:dyDescent="0.25">
      <c r="A4" s="28"/>
      <c r="B4" s="28"/>
      <c r="C4" s="33" t="s">
        <v>33</v>
      </c>
      <c r="D4" s="34"/>
      <c r="E4" s="35" t="s">
        <v>34</v>
      </c>
      <c r="F4" s="36"/>
      <c r="G4" s="33" t="s">
        <v>33</v>
      </c>
      <c r="H4" s="34"/>
      <c r="I4" s="35" t="s">
        <v>34</v>
      </c>
      <c r="J4" s="36"/>
    </row>
    <row r="5" spans="1:12" s="4" customFormat="1" x14ac:dyDescent="0.25">
      <c r="A5" s="29"/>
      <c r="B5" s="29"/>
      <c r="C5" s="17" t="s">
        <v>114</v>
      </c>
      <c r="D5" s="17" t="s">
        <v>115</v>
      </c>
      <c r="E5" s="17" t="s">
        <v>114</v>
      </c>
      <c r="F5" s="7" t="s">
        <v>115</v>
      </c>
      <c r="G5" s="17" t="s">
        <v>114</v>
      </c>
      <c r="H5" s="7" t="s">
        <v>115</v>
      </c>
      <c r="I5" s="17" t="s">
        <v>114</v>
      </c>
      <c r="J5" s="7" t="s">
        <v>115</v>
      </c>
    </row>
    <row r="6" spans="1:12" x14ac:dyDescent="0.25">
      <c r="A6" s="22" t="s">
        <v>1</v>
      </c>
      <c r="B6" s="5" t="s">
        <v>36</v>
      </c>
      <c r="C6" s="14">
        <v>2814761000</v>
      </c>
      <c r="D6" s="18">
        <v>0</v>
      </c>
      <c r="E6" s="14">
        <v>1845681595</v>
      </c>
      <c r="F6" s="14">
        <v>0</v>
      </c>
      <c r="G6" s="14">
        <f>SUMIFS(Deposit!$L:$L,Deposit!$H:$H,Sheet1!$A6, Deposit!$M:$M,Sheet1!G$5)</f>
        <v>7782500000</v>
      </c>
      <c r="H6" s="14">
        <f>SUMIFS(Deposit!$L:$L,Deposit!$H:$H,Sheet1!$A6, Deposit!$M:$M,Sheet1!H$5)</f>
        <v>8700000000</v>
      </c>
      <c r="I6" s="14">
        <f>SUMIFS(Loan!$M:$M,  Loan!$D:$D, Sheet1!$A6, Loan!$N:$N,Sheet1!I$5)</f>
        <v>953909200</v>
      </c>
      <c r="J6" s="14">
        <f>SUMIFS(Loan!$M:$M,  Loan!$D:$D, Sheet1!$A6, Loan!$N:$N,Sheet1!J$5)</f>
        <v>7100038000</v>
      </c>
      <c r="K6" s="1"/>
      <c r="L6" s="2"/>
    </row>
    <row r="7" spans="1:12" x14ac:dyDescent="0.25">
      <c r="A7" s="22" t="s">
        <v>3</v>
      </c>
      <c r="B7" s="5" t="s">
        <v>38</v>
      </c>
      <c r="C7" s="14">
        <v>1751000000</v>
      </c>
      <c r="D7" s="18">
        <v>0</v>
      </c>
      <c r="E7" s="14">
        <v>0</v>
      </c>
      <c r="F7" s="14">
        <v>0</v>
      </c>
      <c r="G7" s="14">
        <f>SUMIFS(Deposit!$L:$L,Deposit!$H:$H,Sheet1!$A7, Deposit!$M:$M,Sheet1!G$5)</f>
        <v>1065340000</v>
      </c>
      <c r="H7" s="14">
        <f>SUMIFS(Deposit!$L:$L,Deposit!$H:$H,Sheet1!$A7, Deposit!$M:$M,Sheet1!H$5)</f>
        <v>6000000000</v>
      </c>
      <c r="I7" s="14">
        <f>SUMIFS(Loan!$M:$M,  Loan!$D:$D, Sheet1!$A7, Loan!$N:$N,Sheet1!I$5)</f>
        <v>260000000</v>
      </c>
      <c r="J7" s="14">
        <f>SUMIFS(Loan!$M:$M,  Loan!$D:$D, Sheet1!$A7, Loan!$N:$N,Sheet1!J$5)</f>
        <v>0</v>
      </c>
      <c r="K7" s="1"/>
      <c r="L7" s="2"/>
    </row>
    <row r="8" spans="1:12" x14ac:dyDescent="0.25">
      <c r="A8" s="22" t="s">
        <v>5</v>
      </c>
      <c r="B8" s="5" t="s">
        <v>35</v>
      </c>
      <c r="C8" s="14">
        <v>8585000000</v>
      </c>
      <c r="D8" s="18">
        <v>0</v>
      </c>
      <c r="E8" s="14">
        <v>648254167</v>
      </c>
      <c r="F8" s="14">
        <v>0</v>
      </c>
      <c r="G8" s="14">
        <f>SUMIFS(Deposit!$L:$L,Deposit!$H:$H,Sheet1!$A8, Deposit!$M:$M,Sheet1!G$5)</f>
        <v>10397023375</v>
      </c>
      <c r="H8" s="14">
        <f>SUMIFS(Deposit!$L:$L,Deposit!$H:$H,Sheet1!$A8, Deposit!$M:$M,Sheet1!H$5)</f>
        <v>10000000000</v>
      </c>
      <c r="I8" s="14">
        <f>SUMIFS(Loan!$M:$M,  Loan!$D:$D, Sheet1!$A8, Loan!$N:$N,Sheet1!I$5)</f>
        <v>489603788</v>
      </c>
      <c r="J8" s="14">
        <f>SUMIFS(Loan!$M:$M,  Loan!$D:$D, Sheet1!$A8, Loan!$N:$N,Sheet1!J$5)</f>
        <v>6597982000</v>
      </c>
      <c r="K8" s="1"/>
      <c r="L8" s="2"/>
    </row>
    <row r="9" spans="1:12" x14ac:dyDescent="0.25">
      <c r="A9" s="22" t="s">
        <v>26</v>
      </c>
      <c r="B9" s="5" t="s">
        <v>42</v>
      </c>
      <c r="C9" s="14">
        <v>1790000000</v>
      </c>
      <c r="D9" s="18">
        <v>0</v>
      </c>
      <c r="E9" s="14">
        <v>238604222</v>
      </c>
      <c r="F9" s="14">
        <v>0</v>
      </c>
      <c r="G9" s="14">
        <f>SUMIFS(Deposit!$L:$L,Deposit!$H:$H,Sheet1!$A9, Deposit!$M:$M,Sheet1!G$5)</f>
        <v>5305000000</v>
      </c>
      <c r="H9" s="14">
        <f>SUMIFS(Deposit!$L:$L,Deposit!$H:$H,Sheet1!$A9, Deposit!$M:$M,Sheet1!H$5)</f>
        <v>0</v>
      </c>
      <c r="I9" s="14">
        <f>SUMIFS(Loan!$M:$M,  Loan!$D:$D, Sheet1!$A9, Loan!$N:$N,Sheet1!I$5)</f>
        <v>400000000</v>
      </c>
      <c r="J9" s="14">
        <f>SUMIFS(Loan!$M:$M,  Loan!$D:$D, Sheet1!$A9, Loan!$N:$N,Sheet1!J$5)</f>
        <v>1200000000</v>
      </c>
      <c r="K9" s="1"/>
      <c r="L9" s="2"/>
    </row>
    <row r="10" spans="1:12" x14ac:dyDescent="0.25">
      <c r="A10" s="22" t="s">
        <v>27</v>
      </c>
      <c r="B10" s="5" t="s">
        <v>41</v>
      </c>
      <c r="C10" s="14">
        <v>1254300000</v>
      </c>
      <c r="D10" s="18">
        <v>0</v>
      </c>
      <c r="E10" s="14">
        <v>0</v>
      </c>
      <c r="F10" s="14">
        <v>0</v>
      </c>
      <c r="G10" s="14">
        <f>SUMIFS(Deposit!$L:$L,Deposit!$H:$H,Sheet1!$A10, Deposit!$M:$M,Sheet1!G$5)</f>
        <v>5242231129</v>
      </c>
      <c r="H10" s="14">
        <f>SUMIFS(Deposit!$L:$L,Deposit!$H:$H,Sheet1!$A10, Deposit!$M:$M,Sheet1!H$5)</f>
        <v>0</v>
      </c>
      <c r="I10" s="14">
        <f>SUMIFS(Loan!$M:$M,  Loan!$D:$D, Sheet1!$A10, Loan!$N:$N,Sheet1!I$5)</f>
        <v>5680776667</v>
      </c>
      <c r="J10" s="14">
        <f>SUMIFS(Loan!$M:$M,  Loan!$D:$D, Sheet1!$A10, Loan!$N:$N,Sheet1!J$5)</f>
        <v>0</v>
      </c>
      <c r="K10" s="1"/>
      <c r="L10" s="2"/>
    </row>
    <row r="11" spans="1:12" x14ac:dyDescent="0.25">
      <c r="A11" s="22" t="s">
        <v>28</v>
      </c>
      <c r="B11" s="5" t="s">
        <v>40</v>
      </c>
      <c r="C11" s="14">
        <v>2256000000</v>
      </c>
      <c r="D11" s="18">
        <v>0</v>
      </c>
      <c r="E11" s="14">
        <v>61926289</v>
      </c>
      <c r="F11" s="14">
        <v>0</v>
      </c>
      <c r="G11" s="14">
        <f>SUMIFS(Deposit!$L:$L,Deposit!$H:$H,Sheet1!$A11, Deposit!$M:$M,Sheet1!G$5)</f>
        <v>4967124000</v>
      </c>
      <c r="H11" s="14">
        <f>SUMIFS(Deposit!$L:$L,Deposit!$H:$H,Sheet1!$A11, Deposit!$M:$M,Sheet1!H$5)</f>
        <v>0</v>
      </c>
      <c r="I11" s="14">
        <f>SUMIFS(Loan!$M:$M,  Loan!$D:$D, Sheet1!$A11, Loan!$N:$N,Sheet1!I$5)</f>
        <v>600000000</v>
      </c>
      <c r="J11" s="14">
        <f>SUMIFS(Loan!$M:$M,  Loan!$D:$D, Sheet1!$A11, Loan!$N:$N,Sheet1!J$5)</f>
        <v>0</v>
      </c>
      <c r="K11" s="1"/>
      <c r="L11" s="2"/>
    </row>
    <row r="12" spans="1:12" x14ac:dyDescent="0.25">
      <c r="A12" s="22" t="s">
        <v>29</v>
      </c>
      <c r="B12" s="5" t="s">
        <v>39</v>
      </c>
      <c r="C12" s="14">
        <v>2251790000</v>
      </c>
      <c r="D12" s="18">
        <v>0</v>
      </c>
      <c r="E12" s="14">
        <v>0</v>
      </c>
      <c r="F12" s="14">
        <v>0</v>
      </c>
      <c r="G12" s="14">
        <f>SUMIFS(Deposit!$L:$L,Deposit!$H:$H,Sheet1!$A12, Deposit!$M:$M,Sheet1!G$5)</f>
        <v>700000000</v>
      </c>
      <c r="H12" s="14">
        <f>SUMIFS(Deposit!$L:$L,Deposit!$H:$H,Sheet1!$A12, Deposit!$M:$M,Sheet1!H$5)</f>
        <v>0</v>
      </c>
      <c r="I12" s="14">
        <f>SUMIFS(Loan!$M:$M,  Loan!$D:$D, Sheet1!$A12, Loan!$N:$N,Sheet1!I$5)</f>
        <v>0</v>
      </c>
      <c r="J12" s="14">
        <f>SUMIFS(Loan!$M:$M,  Loan!$D:$D, Sheet1!$A12, Loan!$N:$N,Sheet1!J$5)</f>
        <v>2364500000</v>
      </c>
      <c r="K12" s="1"/>
      <c r="L12" s="2"/>
    </row>
    <row r="13" spans="1:12" x14ac:dyDescent="0.25">
      <c r="A13" s="22" t="s">
        <v>25</v>
      </c>
      <c r="B13" s="5" t="s">
        <v>37</v>
      </c>
      <c r="C13" s="14">
        <v>520000000</v>
      </c>
      <c r="D13" s="18">
        <v>0</v>
      </c>
      <c r="E13" s="14">
        <v>0</v>
      </c>
      <c r="F13" s="14">
        <v>0</v>
      </c>
      <c r="G13" s="14">
        <f>SUMIFS(Deposit!$L:$L,Deposit!$H:$H,Sheet1!$A13, Deposit!$M:$M,Sheet1!G$5)</f>
        <v>50000000</v>
      </c>
      <c r="H13" s="14">
        <f>SUMIFS(Deposit!$L:$L,Deposit!$H:$H,Sheet1!$A13, Deposit!$M:$M,Sheet1!H$5)</f>
        <v>0</v>
      </c>
      <c r="I13" s="14">
        <f>SUMIFS(Loan!$M:$M,  Loan!$D:$D, Sheet1!$A13, Loan!$N:$N,Sheet1!I$5)</f>
        <v>879198278</v>
      </c>
      <c r="J13" s="14">
        <f>SUMIFS(Loan!$M:$M,  Loan!$D:$D, Sheet1!$A13, Loan!$N:$N,Sheet1!J$5)</f>
        <v>0</v>
      </c>
      <c r="K13" s="1"/>
      <c r="L13" s="2"/>
    </row>
    <row r="14" spans="1:12" x14ac:dyDescent="0.25">
      <c r="A14" s="22" t="s">
        <v>30</v>
      </c>
      <c r="B14" s="6" t="s">
        <v>0</v>
      </c>
      <c r="C14" s="14">
        <v>5608781000</v>
      </c>
      <c r="D14" s="18">
        <v>0</v>
      </c>
      <c r="E14" s="14">
        <v>0</v>
      </c>
      <c r="F14" s="14">
        <v>0</v>
      </c>
      <c r="G14" s="14">
        <f>SUMIFS(Deposit!$L:$L,Deposit!$H:$H,Sheet1!$A14, Deposit!$M:$M,Sheet1!G$5)</f>
        <v>558000000</v>
      </c>
      <c r="H14" s="14">
        <f>SUMIFS(Deposit!$L:$L,Deposit!$H:$H,Sheet1!$A14, Deposit!$M:$M,Sheet1!H$5)</f>
        <v>0</v>
      </c>
      <c r="I14" s="14">
        <f>SUMIFS(Loan!$M:$M,  Loan!$D:$D, Sheet1!$A14, Loan!$N:$N,Sheet1!I$5)</f>
        <v>0</v>
      </c>
      <c r="J14" s="14">
        <f>SUMIFS(Loan!$M:$M,  Loan!$D:$D, Sheet1!$A14, Loan!$N:$N,Sheet1!J$5)</f>
        <v>0</v>
      </c>
      <c r="K14" s="1"/>
      <c r="L14" s="2"/>
    </row>
    <row r="15" spans="1:12" x14ac:dyDescent="0.25">
      <c r="A15" s="22" t="s">
        <v>2</v>
      </c>
      <c r="B15" s="5" t="s">
        <v>53</v>
      </c>
      <c r="C15" s="14">
        <v>10519865400</v>
      </c>
      <c r="D15" s="18">
        <v>0</v>
      </c>
      <c r="E15" s="14">
        <v>119537778</v>
      </c>
      <c r="F15" s="14">
        <v>0</v>
      </c>
      <c r="G15" s="14">
        <f>SUMIFS(Deposit!$L:$L,Deposit!$H:$H,Sheet1!$A15, Deposit!$M:$M,Sheet1!G$5)</f>
        <v>2527000000</v>
      </c>
      <c r="H15" s="14">
        <f>SUMIFS(Deposit!$L:$L,Deposit!$H:$H,Sheet1!$A15, Deposit!$M:$M,Sheet1!H$5)</f>
        <v>0</v>
      </c>
      <c r="I15" s="14">
        <f>SUMIFS(Loan!$M:$M,  Loan!$D:$D, Sheet1!$A15, Loan!$N:$N,Sheet1!I$5)</f>
        <v>218880833</v>
      </c>
      <c r="J15" s="14">
        <f>SUMIFS(Loan!$M:$M,  Loan!$D:$D, Sheet1!$A15, Loan!$N:$N,Sheet1!J$5)</f>
        <v>0</v>
      </c>
      <c r="K15" s="1"/>
      <c r="L15" s="2"/>
    </row>
    <row r="16" spans="1:12" x14ac:dyDescent="0.25">
      <c r="A16" s="22" t="s">
        <v>4</v>
      </c>
      <c r="B16" s="5" t="s">
        <v>54</v>
      </c>
      <c r="C16" s="14">
        <v>0</v>
      </c>
      <c r="D16" s="18">
        <v>0</v>
      </c>
      <c r="E16" s="14">
        <v>300000000</v>
      </c>
      <c r="F16" s="14">
        <v>0</v>
      </c>
      <c r="G16" s="14">
        <f>SUMIFS(Deposit!$L:$L,Deposit!$H:$H,Sheet1!$A16, Deposit!$M:$M,Sheet1!G$5)</f>
        <v>49860138500</v>
      </c>
      <c r="H16" s="14">
        <f>SUMIFS(Deposit!$L:$L,Deposit!$H:$H,Sheet1!$A16, Deposit!$M:$M,Sheet1!H$5)</f>
        <v>0</v>
      </c>
      <c r="I16" s="14">
        <f>SUMIFS(Loan!$M:$M,  Loan!$D:$D, Sheet1!$A16, Loan!$N:$N,Sheet1!I$5)</f>
        <v>0</v>
      </c>
      <c r="J16" s="14">
        <f>SUMIFS(Loan!$M:$M,  Loan!$D:$D, Sheet1!$A16, Loan!$N:$N,Sheet1!J$5)</f>
        <v>0</v>
      </c>
      <c r="K16" s="1"/>
      <c r="L16" s="2"/>
    </row>
    <row r="17" spans="1:12" x14ac:dyDescent="0.25">
      <c r="A17" s="22" t="s">
        <v>6</v>
      </c>
      <c r="B17" s="5" t="s">
        <v>48</v>
      </c>
      <c r="C17" s="14">
        <v>10000000</v>
      </c>
      <c r="D17" s="18">
        <v>0</v>
      </c>
      <c r="E17" s="14">
        <v>0</v>
      </c>
      <c r="F17" s="14">
        <v>0</v>
      </c>
      <c r="G17" s="14">
        <f>SUMIFS(Deposit!$L:$L,Deposit!$H:$H,Sheet1!$A17, Deposit!$M:$M,Sheet1!G$5)</f>
        <v>1220000000</v>
      </c>
      <c r="H17" s="14">
        <f>SUMIFS(Deposit!$L:$L,Deposit!$H:$H,Sheet1!$A17, Deposit!$M:$M,Sheet1!H$5)</f>
        <v>0</v>
      </c>
      <c r="I17" s="14">
        <f>SUMIFS(Loan!$M:$M,  Loan!$D:$D, Sheet1!$A17, Loan!$N:$N,Sheet1!I$5)</f>
        <v>3966805556</v>
      </c>
      <c r="J17" s="14">
        <f>SUMIFS(Loan!$M:$M,  Loan!$D:$D, Sheet1!$A17, Loan!$N:$N,Sheet1!J$5)</f>
        <v>0</v>
      </c>
      <c r="K17" s="1"/>
      <c r="L17" s="2"/>
    </row>
    <row r="18" spans="1:12" x14ac:dyDescent="0.25">
      <c r="A18" s="22" t="s">
        <v>7</v>
      </c>
      <c r="B18" s="5" t="s">
        <v>47</v>
      </c>
      <c r="C18" s="14">
        <v>870000000</v>
      </c>
      <c r="D18" s="18">
        <v>0</v>
      </c>
      <c r="E18" s="14">
        <v>0</v>
      </c>
      <c r="F18" s="14">
        <v>0</v>
      </c>
      <c r="G18" s="14">
        <f>SUMIFS(Deposit!$L:$L,Deposit!$H:$H,Sheet1!$A18, Deposit!$M:$M,Sheet1!G$5)</f>
        <v>970000000</v>
      </c>
      <c r="H18" s="14">
        <f>SUMIFS(Deposit!$L:$L,Deposit!$H:$H,Sheet1!$A18, Deposit!$M:$M,Sheet1!H$5)</f>
        <v>0</v>
      </c>
      <c r="I18" s="14">
        <f>SUMIFS(Loan!$M:$M,  Loan!$D:$D, Sheet1!$A18, Loan!$N:$N,Sheet1!I$5)</f>
        <v>695955556</v>
      </c>
      <c r="J18" s="14">
        <f>SUMIFS(Loan!$M:$M,  Loan!$D:$D, Sheet1!$A18, Loan!$N:$N,Sheet1!J$5)</f>
        <v>0</v>
      </c>
      <c r="K18" s="1"/>
      <c r="L18" s="2"/>
    </row>
    <row r="19" spans="1:12" x14ac:dyDescent="0.25">
      <c r="A19" s="22" t="s">
        <v>8</v>
      </c>
      <c r="B19" s="5" t="s">
        <v>46</v>
      </c>
      <c r="C19" s="14">
        <v>0</v>
      </c>
      <c r="D19" s="18">
        <v>0</v>
      </c>
      <c r="E19" s="14">
        <v>0</v>
      </c>
      <c r="F19" s="14">
        <v>0</v>
      </c>
      <c r="G19" s="14">
        <f>SUMIFS(Deposit!$L:$L,Deposit!$H:$H,Sheet1!$A19, Deposit!$M:$M,Sheet1!G$5)</f>
        <v>60000000</v>
      </c>
      <c r="H19" s="14">
        <f>SUMIFS(Deposit!$L:$L,Deposit!$H:$H,Sheet1!$A19, Deposit!$M:$M,Sheet1!H$5)</f>
        <v>0</v>
      </c>
      <c r="I19" s="14">
        <f>SUMIFS(Loan!$M:$M,  Loan!$D:$D, Sheet1!$A19, Loan!$N:$N,Sheet1!I$5)</f>
        <v>660000000</v>
      </c>
      <c r="J19" s="14">
        <f>SUMIFS(Loan!$M:$M,  Loan!$D:$D, Sheet1!$A19, Loan!$N:$N,Sheet1!J$5)</f>
        <v>0</v>
      </c>
      <c r="K19" s="1"/>
      <c r="L19" s="2"/>
    </row>
    <row r="20" spans="1:12" x14ac:dyDescent="0.25">
      <c r="A20" s="22" t="s">
        <v>9</v>
      </c>
      <c r="B20" s="5" t="s">
        <v>50</v>
      </c>
      <c r="C20" s="14">
        <v>218000000</v>
      </c>
      <c r="D20" s="18">
        <v>0</v>
      </c>
      <c r="E20" s="14">
        <v>995031944</v>
      </c>
      <c r="F20" s="14">
        <v>0</v>
      </c>
      <c r="G20" s="14">
        <f>SUMIFS(Deposit!$L:$L,Deposit!$H:$H,Sheet1!$A20, Deposit!$M:$M,Sheet1!G$5)</f>
        <v>440000000</v>
      </c>
      <c r="H20" s="14">
        <f>SUMIFS(Deposit!$L:$L,Deposit!$H:$H,Sheet1!$A20, Deposit!$M:$M,Sheet1!H$5)</f>
        <v>0</v>
      </c>
      <c r="I20" s="14">
        <f>SUMIFS(Loan!$M:$M,  Loan!$D:$D, Sheet1!$A20, Loan!$N:$N,Sheet1!I$5)</f>
        <v>0</v>
      </c>
      <c r="J20" s="14">
        <f>SUMIFS(Loan!$M:$M,  Loan!$D:$D, Sheet1!$A20, Loan!$N:$N,Sheet1!J$5)</f>
        <v>0</v>
      </c>
      <c r="K20" s="1"/>
      <c r="L20" s="2"/>
    </row>
    <row r="21" spans="1:12" x14ac:dyDescent="0.25">
      <c r="A21" s="22" t="s">
        <v>10</v>
      </c>
      <c r="B21" s="5" t="s">
        <v>55</v>
      </c>
      <c r="C21" s="14">
        <v>1383000000</v>
      </c>
      <c r="D21" s="18">
        <v>0</v>
      </c>
      <c r="E21" s="14">
        <v>99402917</v>
      </c>
      <c r="F21" s="14">
        <v>0</v>
      </c>
      <c r="G21" s="14">
        <f>SUMIFS(Deposit!$L:$L,Deposit!$H:$H,Sheet1!$A21, Deposit!$M:$M,Sheet1!G$5)</f>
        <v>1226500000</v>
      </c>
      <c r="H21" s="14">
        <f>SUMIFS(Deposit!$L:$L,Deposit!$H:$H,Sheet1!$A21, Deposit!$M:$M,Sheet1!H$5)</f>
        <v>0</v>
      </c>
      <c r="I21" s="14">
        <f>SUMIFS(Loan!$M:$M,  Loan!$D:$D, Sheet1!$A21, Loan!$N:$N,Sheet1!I$5)</f>
        <v>853956668</v>
      </c>
      <c r="J21" s="14">
        <f>SUMIFS(Loan!$M:$M,  Loan!$D:$D, Sheet1!$A21, Loan!$N:$N,Sheet1!J$5)</f>
        <v>0</v>
      </c>
      <c r="K21" s="1"/>
      <c r="L21" s="2"/>
    </row>
    <row r="22" spans="1:12" x14ac:dyDescent="0.25">
      <c r="A22" s="22" t="s">
        <v>11</v>
      </c>
      <c r="B22" s="5" t="s">
        <v>60</v>
      </c>
      <c r="C22" s="14">
        <v>1100000000</v>
      </c>
      <c r="D22" s="18">
        <v>0</v>
      </c>
      <c r="E22" s="14">
        <v>0</v>
      </c>
      <c r="F22" s="14">
        <v>0</v>
      </c>
      <c r="G22" s="14">
        <f>SUMIFS(Deposit!$L:$L,Deposit!$H:$H,Sheet1!$A22, Deposit!$M:$M,Sheet1!G$5)</f>
        <v>280000000</v>
      </c>
      <c r="H22" s="14">
        <f>SUMIFS(Deposit!$L:$L,Deposit!$H:$H,Sheet1!$A22, Deposit!$M:$M,Sheet1!H$5)</f>
        <v>0</v>
      </c>
      <c r="I22" s="14">
        <f>SUMIFS(Loan!$M:$M,  Loan!$D:$D, Sheet1!$A22, Loan!$N:$N,Sheet1!I$5)</f>
        <v>3060257291</v>
      </c>
      <c r="J22" s="14">
        <f>SUMIFS(Loan!$M:$M,  Loan!$D:$D, Sheet1!$A22, Loan!$N:$N,Sheet1!J$5)</f>
        <v>0</v>
      </c>
      <c r="K22" s="1"/>
      <c r="L22" s="2"/>
    </row>
    <row r="23" spans="1:12" x14ac:dyDescent="0.25">
      <c r="A23" s="22" t="s">
        <v>12</v>
      </c>
      <c r="B23" s="5" t="s">
        <v>58</v>
      </c>
      <c r="C23" s="14">
        <v>2040000000</v>
      </c>
      <c r="D23" s="18">
        <v>0</v>
      </c>
      <c r="E23" s="14">
        <v>99409444</v>
      </c>
      <c r="F23" s="14">
        <v>0</v>
      </c>
      <c r="G23" s="14">
        <f>SUMIFS(Deposit!$L:$L,Deposit!$H:$H,Sheet1!$A23, Deposit!$M:$M,Sheet1!G$5)</f>
        <v>690000000</v>
      </c>
      <c r="H23" s="14">
        <f>SUMIFS(Deposit!$L:$L,Deposit!$H:$H,Sheet1!$A23, Deposit!$M:$M,Sheet1!H$5)</f>
        <v>0</v>
      </c>
      <c r="I23" s="14">
        <f>SUMIFS(Loan!$M:$M,  Loan!$D:$D, Sheet1!$A23, Loan!$N:$N,Sheet1!I$5)</f>
        <v>996733333</v>
      </c>
      <c r="J23" s="14">
        <f>SUMIFS(Loan!$M:$M,  Loan!$D:$D, Sheet1!$A23, Loan!$N:$N,Sheet1!J$5)</f>
        <v>0</v>
      </c>
      <c r="K23" s="1"/>
      <c r="L23" s="2"/>
    </row>
    <row r="24" spans="1:12" x14ac:dyDescent="0.25">
      <c r="A24" s="22" t="s">
        <v>13</v>
      </c>
      <c r="B24" s="5" t="s">
        <v>52</v>
      </c>
      <c r="C24" s="14">
        <v>0</v>
      </c>
      <c r="D24" s="18">
        <v>0</v>
      </c>
      <c r="E24" s="14">
        <v>0</v>
      </c>
      <c r="F24" s="14">
        <v>0</v>
      </c>
      <c r="G24" s="14">
        <f>SUMIFS(Deposit!$L:$L,Deposit!$H:$H,Sheet1!$A24, Deposit!$M:$M,Sheet1!G$5)</f>
        <v>1650000000</v>
      </c>
      <c r="H24" s="14">
        <f>SUMIFS(Deposit!$L:$L,Deposit!$H:$H,Sheet1!$A24, Deposit!$M:$M,Sheet1!H$5)</f>
        <v>0</v>
      </c>
      <c r="I24" s="14">
        <f>SUMIFS(Loan!$M:$M,  Loan!$D:$D, Sheet1!$A24, Loan!$N:$N,Sheet1!I$5)</f>
        <v>3994580556</v>
      </c>
      <c r="J24" s="14">
        <f>SUMIFS(Loan!$M:$M,  Loan!$D:$D, Sheet1!$A24, Loan!$N:$N,Sheet1!J$5)</f>
        <v>0</v>
      </c>
      <c r="K24" s="1"/>
      <c r="L24" s="2"/>
    </row>
    <row r="25" spans="1:12" x14ac:dyDescent="0.25">
      <c r="A25" s="22" t="s">
        <v>14</v>
      </c>
      <c r="B25" s="5" t="s">
        <v>49</v>
      </c>
      <c r="C25" s="14">
        <v>165745000</v>
      </c>
      <c r="D25" s="18">
        <v>0</v>
      </c>
      <c r="E25" s="14">
        <v>0</v>
      </c>
      <c r="F25" s="14">
        <v>0</v>
      </c>
      <c r="G25" s="14">
        <f>SUMIFS(Deposit!$L:$L,Deposit!$H:$H,Sheet1!$A25, Deposit!$M:$M,Sheet1!G$5)</f>
        <v>1737000000</v>
      </c>
      <c r="H25" s="14">
        <f>SUMIFS(Deposit!$L:$L,Deposit!$H:$H,Sheet1!$A25, Deposit!$M:$M,Sheet1!H$5)</f>
        <v>0</v>
      </c>
      <c r="I25" s="14">
        <f>SUMIFS(Loan!$M:$M,  Loan!$D:$D, Sheet1!$A25, Loan!$N:$N,Sheet1!I$5)</f>
        <v>497576500</v>
      </c>
      <c r="J25" s="14">
        <f>SUMIFS(Loan!$M:$M,  Loan!$D:$D, Sheet1!$A25, Loan!$N:$N,Sheet1!J$5)</f>
        <v>0</v>
      </c>
      <c r="K25" s="1"/>
      <c r="L25" s="2"/>
    </row>
    <row r="26" spans="1:12" x14ac:dyDescent="0.25">
      <c r="A26" s="22" t="s">
        <v>15</v>
      </c>
      <c r="B26" s="5" t="s">
        <v>44</v>
      </c>
      <c r="C26" s="14">
        <v>1345000000</v>
      </c>
      <c r="D26" s="18">
        <v>0</v>
      </c>
      <c r="E26" s="14">
        <v>3037121444</v>
      </c>
      <c r="F26" s="14">
        <v>0</v>
      </c>
      <c r="G26" s="14">
        <f>SUMIFS(Deposit!$L:$L,Deposit!$H:$H,Sheet1!$A26, Deposit!$M:$M,Sheet1!G$5)</f>
        <v>2519900000</v>
      </c>
      <c r="H26" s="14">
        <f>SUMIFS(Deposit!$L:$L,Deposit!$H:$H,Sheet1!$A26, Deposit!$M:$M,Sheet1!H$5)</f>
        <v>0</v>
      </c>
      <c r="I26" s="14">
        <f>SUMIFS(Loan!$M:$M,  Loan!$D:$D, Sheet1!$A26, Loan!$N:$N,Sheet1!I$5)</f>
        <v>78089780</v>
      </c>
      <c r="J26" s="14">
        <f>SUMIFS(Loan!$M:$M,  Loan!$D:$D, Sheet1!$A26, Loan!$N:$N,Sheet1!J$5)</f>
        <v>0</v>
      </c>
      <c r="K26" s="1"/>
      <c r="L26" s="2"/>
    </row>
    <row r="27" spans="1:12" x14ac:dyDescent="0.25">
      <c r="A27" s="22" t="s">
        <v>16</v>
      </c>
      <c r="B27" s="5" t="s">
        <v>51</v>
      </c>
      <c r="C27" s="14">
        <v>0</v>
      </c>
      <c r="D27" s="18">
        <v>0</v>
      </c>
      <c r="E27" s="14">
        <v>40000000</v>
      </c>
      <c r="F27" s="14">
        <v>0</v>
      </c>
      <c r="G27" s="14">
        <f>SUMIFS(Deposit!$L:$L,Deposit!$H:$H,Sheet1!$A27, Deposit!$M:$M,Sheet1!G$5)</f>
        <v>0</v>
      </c>
      <c r="H27" s="14">
        <f>SUMIFS(Deposit!$L:$L,Deposit!$H:$H,Sheet1!$A27, Deposit!$M:$M,Sheet1!H$5)</f>
        <v>0</v>
      </c>
      <c r="I27" s="14">
        <f>SUMIFS(Loan!$M:$M,  Loan!$D:$D, Sheet1!$A27, Loan!$N:$N,Sheet1!I$5)</f>
        <v>0</v>
      </c>
      <c r="J27" s="14">
        <f>SUMIFS(Loan!$M:$M,  Loan!$D:$D, Sheet1!$A27, Loan!$N:$N,Sheet1!J$5)</f>
        <v>0</v>
      </c>
      <c r="K27" s="1"/>
      <c r="L27" s="2"/>
    </row>
    <row r="28" spans="1:12" x14ac:dyDescent="0.25">
      <c r="A28" s="22" t="s">
        <v>17</v>
      </c>
      <c r="B28" s="5" t="s">
        <v>62</v>
      </c>
      <c r="C28" s="14">
        <v>5800000000</v>
      </c>
      <c r="D28" s="18">
        <v>0</v>
      </c>
      <c r="E28" s="14">
        <v>0</v>
      </c>
      <c r="F28" s="14">
        <v>0</v>
      </c>
      <c r="G28" s="14">
        <f>SUMIFS(Deposit!$L:$L,Deposit!$H:$H,Sheet1!$A28, Deposit!$M:$M,Sheet1!G$5)</f>
        <v>280000000</v>
      </c>
      <c r="H28" s="14">
        <f>SUMIFS(Deposit!$L:$L,Deposit!$H:$H,Sheet1!$A28, Deposit!$M:$M,Sheet1!H$5)</f>
        <v>0</v>
      </c>
      <c r="I28" s="14">
        <f>SUMIFS(Loan!$M:$M,  Loan!$D:$D, Sheet1!$A28, Loan!$N:$N,Sheet1!I$5)</f>
        <v>0</v>
      </c>
      <c r="J28" s="14">
        <f>SUMIFS(Loan!$M:$M,  Loan!$D:$D, Sheet1!$A28, Loan!$N:$N,Sheet1!J$5)</f>
        <v>0</v>
      </c>
      <c r="K28" s="1"/>
      <c r="L28" s="2"/>
    </row>
    <row r="29" spans="1:12" x14ac:dyDescent="0.25">
      <c r="A29" s="22" t="s">
        <v>18</v>
      </c>
      <c r="B29" s="5" t="s">
        <v>56</v>
      </c>
      <c r="C29" s="14">
        <v>700000000</v>
      </c>
      <c r="D29" s="18">
        <v>0</v>
      </c>
      <c r="E29" s="14">
        <v>0</v>
      </c>
      <c r="F29" s="14">
        <v>0</v>
      </c>
      <c r="G29" s="14">
        <f>SUMIFS(Deposit!$L:$L,Deposit!$H:$H,Sheet1!$A29, Deposit!$M:$M,Sheet1!G$5)</f>
        <v>6942000000</v>
      </c>
      <c r="H29" s="14">
        <f>SUMIFS(Deposit!$L:$L,Deposit!$H:$H,Sheet1!$A29, Deposit!$M:$M,Sheet1!H$5)</f>
        <v>0</v>
      </c>
      <c r="I29" s="14">
        <f>SUMIFS(Loan!$M:$M,  Loan!$D:$D, Sheet1!$A29, Loan!$N:$N,Sheet1!I$5)</f>
        <v>100000000</v>
      </c>
      <c r="J29" s="14">
        <f>SUMIFS(Loan!$M:$M,  Loan!$D:$D, Sheet1!$A29, Loan!$N:$N,Sheet1!J$5)</f>
        <v>0</v>
      </c>
      <c r="K29" s="1"/>
      <c r="L29" s="2"/>
    </row>
    <row r="30" spans="1:12" x14ac:dyDescent="0.25">
      <c r="A30" s="22" t="s">
        <v>19</v>
      </c>
      <c r="B30" s="5" t="s">
        <v>63</v>
      </c>
      <c r="C30" s="14">
        <v>110000000</v>
      </c>
      <c r="D30" s="18">
        <v>0</v>
      </c>
      <c r="E30" s="14">
        <v>0</v>
      </c>
      <c r="F30" s="14">
        <v>0</v>
      </c>
      <c r="G30" s="14">
        <f>SUMIFS(Deposit!$L:$L,Deposit!$H:$H,Sheet1!$A30, Deposit!$M:$M,Sheet1!G$5)</f>
        <v>200000000</v>
      </c>
      <c r="H30" s="14">
        <f>SUMIFS(Deposit!$L:$L,Deposit!$H:$H,Sheet1!$A30, Deposit!$M:$M,Sheet1!H$5)</f>
        <v>0</v>
      </c>
      <c r="I30" s="14">
        <f>SUMIFS(Loan!$M:$M,  Loan!$D:$D, Sheet1!$A30, Loan!$N:$N,Sheet1!I$5)</f>
        <v>440000000</v>
      </c>
      <c r="J30" s="14">
        <f>SUMIFS(Loan!$M:$M,  Loan!$D:$D, Sheet1!$A30, Loan!$N:$N,Sheet1!J$5)</f>
        <v>0</v>
      </c>
      <c r="K30" s="1"/>
      <c r="L30" s="2"/>
    </row>
    <row r="31" spans="1:12" x14ac:dyDescent="0.25">
      <c r="A31" s="22" t="s">
        <v>20</v>
      </c>
      <c r="B31" s="5" t="s">
        <v>61</v>
      </c>
      <c r="C31" s="14">
        <v>0</v>
      </c>
      <c r="D31" s="18">
        <v>0</v>
      </c>
      <c r="E31" s="14">
        <v>3945166667</v>
      </c>
      <c r="F31" s="14">
        <v>0</v>
      </c>
      <c r="G31" s="14">
        <f>SUMIFS(Deposit!$L:$L,Deposit!$H:$H,Sheet1!$A31, Deposit!$M:$M,Sheet1!G$5)</f>
        <v>480000000</v>
      </c>
      <c r="H31" s="14">
        <f>SUMIFS(Deposit!$L:$L,Deposit!$H:$H,Sheet1!$A31, Deposit!$M:$M,Sheet1!H$5)</f>
        <v>0</v>
      </c>
      <c r="I31" s="14">
        <f>SUMIFS(Loan!$M:$M,  Loan!$D:$D, Sheet1!$A31, Loan!$N:$N,Sheet1!I$5)</f>
        <v>692956250</v>
      </c>
      <c r="J31" s="14">
        <f>SUMIFS(Loan!$M:$M,  Loan!$D:$D, Sheet1!$A31, Loan!$N:$N,Sheet1!J$5)</f>
        <v>0</v>
      </c>
      <c r="K31" s="1"/>
      <c r="L31" s="2"/>
    </row>
    <row r="32" spans="1:12" x14ac:dyDescent="0.25">
      <c r="A32" s="22" t="s">
        <v>21</v>
      </c>
      <c r="B32" s="5" t="s">
        <v>57</v>
      </c>
      <c r="C32" s="14">
        <v>10200000000</v>
      </c>
      <c r="D32" s="18">
        <v>0</v>
      </c>
      <c r="E32" s="14">
        <v>0</v>
      </c>
      <c r="F32" s="14">
        <v>0</v>
      </c>
      <c r="G32" s="14">
        <f>SUMIFS(Deposit!$L:$L,Deposit!$H:$H,Sheet1!$A32, Deposit!$M:$M,Sheet1!G$5)</f>
        <v>2937000000</v>
      </c>
      <c r="H32" s="14">
        <f>SUMIFS(Deposit!$L:$L,Deposit!$H:$H,Sheet1!$A32, Deposit!$M:$M,Sheet1!H$5)</f>
        <v>0</v>
      </c>
      <c r="I32" s="14">
        <f>SUMIFS(Loan!$M:$M,  Loan!$D:$D, Sheet1!$A32, Loan!$N:$N,Sheet1!I$5)</f>
        <v>7067436249</v>
      </c>
      <c r="J32" s="14">
        <f>SUMIFS(Loan!$M:$M,  Loan!$D:$D, Sheet1!$A32, Loan!$N:$N,Sheet1!J$5)</f>
        <v>0</v>
      </c>
      <c r="K32" s="1"/>
      <c r="L32" s="2"/>
    </row>
    <row r="33" spans="1:12" x14ac:dyDescent="0.25">
      <c r="A33" s="22" t="s">
        <v>22</v>
      </c>
      <c r="B33" s="5" t="s">
        <v>43</v>
      </c>
      <c r="C33" s="14">
        <v>0</v>
      </c>
      <c r="D33" s="18">
        <v>0</v>
      </c>
      <c r="E33" s="14">
        <v>0</v>
      </c>
      <c r="F33" s="14">
        <v>0</v>
      </c>
      <c r="G33" s="14">
        <f>SUMIFS(Deposit!$L:$L,Deposit!$H:$H,Sheet1!$A33, Deposit!$M:$M,Sheet1!G$5)</f>
        <v>530000000</v>
      </c>
      <c r="H33" s="14">
        <f>SUMIFS(Deposit!$L:$L,Deposit!$H:$H,Sheet1!$A33, Deposit!$M:$M,Sheet1!H$5)</f>
        <v>0</v>
      </c>
      <c r="I33" s="14">
        <f>SUMIFS(Loan!$M:$M,  Loan!$D:$D, Sheet1!$A33, Loan!$N:$N,Sheet1!I$5)</f>
        <v>49703611</v>
      </c>
      <c r="J33" s="14">
        <f>SUMIFS(Loan!$M:$M,  Loan!$D:$D, Sheet1!$A33, Loan!$N:$N,Sheet1!J$5)</f>
        <v>0</v>
      </c>
      <c r="K33" s="1"/>
      <c r="L33" s="2"/>
    </row>
    <row r="34" spans="1:12" x14ac:dyDescent="0.25">
      <c r="A34" s="22" t="s">
        <v>23</v>
      </c>
      <c r="B34" s="5" t="s">
        <v>45</v>
      </c>
      <c r="C34" s="14">
        <v>0</v>
      </c>
      <c r="D34" s="18">
        <v>0</v>
      </c>
      <c r="E34" s="14">
        <v>0</v>
      </c>
      <c r="F34" s="14">
        <v>0</v>
      </c>
      <c r="G34" s="14">
        <f>SUMIFS(Deposit!$L:$L,Deposit!$H:$H,Sheet1!$A34, Deposit!$M:$M,Sheet1!G$5)</f>
        <v>1126350000</v>
      </c>
      <c r="H34" s="14">
        <f>SUMIFS(Deposit!$L:$L,Deposit!$H:$H,Sheet1!$A34, Deposit!$M:$M,Sheet1!H$5)</f>
        <v>0</v>
      </c>
      <c r="I34" s="14">
        <f>SUMIFS(Loan!$M:$M,  Loan!$D:$D, Sheet1!$A34, Loan!$N:$N,Sheet1!I$5)</f>
        <v>0</v>
      </c>
      <c r="J34" s="14">
        <f>SUMIFS(Loan!$M:$M,  Loan!$D:$D, Sheet1!$A34, Loan!$N:$N,Sheet1!J$5)</f>
        <v>0</v>
      </c>
      <c r="K34" s="1"/>
      <c r="L34" s="2"/>
    </row>
    <row r="35" spans="1:12" x14ac:dyDescent="0.25">
      <c r="A35" s="22" t="s">
        <v>24</v>
      </c>
      <c r="B35" s="5" t="s">
        <v>59</v>
      </c>
      <c r="C35" s="14">
        <v>1066000000</v>
      </c>
      <c r="D35" s="18">
        <v>0</v>
      </c>
      <c r="E35" s="14">
        <v>498120833</v>
      </c>
      <c r="F35" s="14">
        <v>0</v>
      </c>
      <c r="G35" s="14">
        <f>SUMIFS(Deposit!$L:$L,Deposit!$H:$H,Sheet1!$A35, Deposit!$M:$M,Sheet1!G$5)</f>
        <v>1015000000</v>
      </c>
      <c r="H35" s="14">
        <f>SUMIFS(Deposit!$L:$L,Deposit!$H:$H,Sheet1!$A35, Deposit!$M:$M,Sheet1!H$5)</f>
        <v>0</v>
      </c>
      <c r="I35" s="14">
        <f>SUMIFS(Loan!$M:$M,  Loan!$D:$D, Sheet1!$A35, Loan!$N:$N,Sheet1!I$5)</f>
        <v>0</v>
      </c>
      <c r="J35" s="14">
        <f>SUMIFS(Loan!$M:$M,  Loan!$D:$D, Sheet1!$A35, Loan!$N:$N,Sheet1!J$5)</f>
        <v>0</v>
      </c>
      <c r="K35" s="1"/>
      <c r="L35" s="2"/>
    </row>
    <row r="36" spans="1:12" x14ac:dyDescent="0.25">
      <c r="A36" s="24" t="s">
        <v>64</v>
      </c>
      <c r="B36" s="25"/>
      <c r="C36" s="19">
        <f>SUM(C6:C35)</f>
        <v>62359242400</v>
      </c>
      <c r="D36" s="20">
        <f t="shared" ref="D36:J36" si="0">SUM(D6:D35)</f>
        <v>0</v>
      </c>
      <c r="E36" s="19">
        <f t="shared" si="0"/>
        <v>11928257300</v>
      </c>
      <c r="F36" s="19">
        <f t="shared" si="0"/>
        <v>0</v>
      </c>
      <c r="G36" s="19">
        <f t="shared" si="0"/>
        <v>112758107004</v>
      </c>
      <c r="H36" s="19">
        <f t="shared" si="0"/>
        <v>24700000000</v>
      </c>
      <c r="I36" s="19">
        <f t="shared" si="0"/>
        <v>32636420116</v>
      </c>
      <c r="J36" s="19">
        <f t="shared" si="0"/>
        <v>17262520000</v>
      </c>
    </row>
  </sheetData>
  <sortState ref="A11:D32">
    <sortCondition ref="A11:A32"/>
  </sortState>
  <mergeCells count="10">
    <mergeCell ref="A36:B36"/>
    <mergeCell ref="A1:J1"/>
    <mergeCell ref="A3:A5"/>
    <mergeCell ref="B3:B5"/>
    <mergeCell ref="C3:F3"/>
    <mergeCell ref="G3:J3"/>
    <mergeCell ref="C4:D4"/>
    <mergeCell ref="E4:F4"/>
    <mergeCell ref="G4:H4"/>
    <mergeCell ref="I4:J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0"/>
  <sheetViews>
    <sheetView topLeftCell="C1" workbookViewId="0">
      <selection activeCell="J5" sqref="J5"/>
    </sheetView>
  </sheetViews>
  <sheetFormatPr defaultRowHeight="15" x14ac:dyDescent="0.25"/>
  <cols>
    <col min="1" max="1" width="13.85546875" customWidth="1"/>
    <col min="2" max="2" width="20.42578125" customWidth="1"/>
    <col min="3" max="3" width="16.140625" customWidth="1"/>
    <col min="4" max="4" width="9" customWidth="1"/>
    <col min="5" max="5" width="6.7109375" customWidth="1"/>
    <col min="6" max="6" width="12.85546875" customWidth="1"/>
    <col min="7" max="7" width="21.5703125" customWidth="1"/>
    <col min="8" max="8" width="16.7109375" customWidth="1"/>
    <col min="9" max="9" width="29.85546875" customWidth="1"/>
    <col min="10" max="10" width="14.7109375" customWidth="1"/>
    <col min="11" max="11" width="18.42578125" customWidth="1"/>
    <col min="12" max="12" width="11.42578125" customWidth="1"/>
    <col min="13" max="13" width="21.140625" customWidth="1"/>
    <col min="14" max="14" width="10.28515625" style="9" bestFit="1" customWidth="1"/>
    <col min="15" max="15" width="18.140625" bestFit="1" customWidth="1"/>
    <col min="16" max="16" width="13.85546875" bestFit="1" customWidth="1"/>
    <col min="17" max="17" width="11" bestFit="1" customWidth="1"/>
    <col min="18" max="18" width="5" bestFit="1" customWidth="1"/>
    <col min="19" max="19" width="10.5703125" bestFit="1" customWidth="1"/>
    <col min="20" max="20" width="19.28515625" bestFit="1" customWidth="1"/>
    <col min="21" max="21" width="14.42578125" bestFit="1" customWidth="1"/>
    <col min="22" max="22" width="29.85546875" bestFit="1" customWidth="1"/>
    <col min="23" max="23" width="12.42578125" bestFit="1" customWidth="1"/>
    <col min="24" max="24" width="16.140625" bestFit="1" customWidth="1"/>
    <col min="25" max="25" width="12" bestFit="1" customWidth="1"/>
  </cols>
  <sheetData>
    <row r="1" spans="1:17" s="4" customFormat="1" x14ac:dyDescent="0.25">
      <c r="A1" s="4" t="s">
        <v>65</v>
      </c>
      <c r="B1" s="4" t="s">
        <v>66</v>
      </c>
      <c r="C1" s="4" t="s">
        <v>67</v>
      </c>
      <c r="D1" s="4" t="s">
        <v>68</v>
      </c>
      <c r="E1" s="4" t="s">
        <v>69</v>
      </c>
      <c r="F1" s="4" t="s">
        <v>70</v>
      </c>
      <c r="G1" s="4" t="s">
        <v>71</v>
      </c>
      <c r="H1" s="4" t="s">
        <v>72</v>
      </c>
      <c r="I1" s="4" t="s">
        <v>73</v>
      </c>
      <c r="J1" s="4" t="s">
        <v>74</v>
      </c>
      <c r="K1" s="4" t="s">
        <v>75</v>
      </c>
      <c r="L1" s="4" t="s">
        <v>76</v>
      </c>
      <c r="M1" s="4" t="s">
        <v>113</v>
      </c>
      <c r="Q1" s="4" t="s">
        <v>116</v>
      </c>
    </row>
    <row r="2" spans="1:17" x14ac:dyDescent="0.25">
      <c r="A2" s="15">
        <v>42872</v>
      </c>
      <c r="B2" t="s">
        <v>154</v>
      </c>
      <c r="C2" t="s">
        <v>155</v>
      </c>
      <c r="D2">
        <v>10208099</v>
      </c>
      <c r="E2" t="s">
        <v>77</v>
      </c>
      <c r="F2" t="s">
        <v>103</v>
      </c>
      <c r="G2" t="s">
        <v>102</v>
      </c>
      <c r="H2" t="s">
        <v>3</v>
      </c>
      <c r="I2" t="s">
        <v>80</v>
      </c>
      <c r="J2" s="15">
        <v>42872</v>
      </c>
      <c r="K2" s="15"/>
      <c r="L2">
        <v>6000000000</v>
      </c>
      <c r="M2" t="s">
        <v>115</v>
      </c>
      <c r="N2"/>
      <c r="P2" s="4" t="s">
        <v>1</v>
      </c>
      <c r="Q2">
        <f>SUMIFS(L:L,H:H,P2,M:M,Q1)</f>
        <v>0</v>
      </c>
    </row>
    <row r="3" spans="1:17" x14ac:dyDescent="0.25">
      <c r="A3" s="15">
        <v>42872</v>
      </c>
      <c r="B3" t="s">
        <v>156</v>
      </c>
      <c r="C3" t="s">
        <v>157</v>
      </c>
      <c r="D3">
        <v>10134510</v>
      </c>
      <c r="E3" t="s">
        <v>77</v>
      </c>
      <c r="F3" t="s">
        <v>103</v>
      </c>
      <c r="G3" t="s">
        <v>102</v>
      </c>
      <c r="H3" t="s">
        <v>9</v>
      </c>
      <c r="I3" t="s">
        <v>111</v>
      </c>
      <c r="J3" s="15">
        <v>42872</v>
      </c>
      <c r="K3" s="15"/>
      <c r="L3">
        <v>110000000</v>
      </c>
      <c r="M3" t="s">
        <v>114</v>
      </c>
      <c r="N3"/>
    </row>
    <row r="4" spans="1:17" x14ac:dyDescent="0.25">
      <c r="A4" s="15">
        <v>42872</v>
      </c>
      <c r="B4" t="s">
        <v>158</v>
      </c>
      <c r="C4" t="s">
        <v>159</v>
      </c>
      <c r="D4">
        <v>10074298</v>
      </c>
      <c r="E4" t="s">
        <v>77</v>
      </c>
      <c r="F4" t="s">
        <v>103</v>
      </c>
      <c r="G4" t="s">
        <v>102</v>
      </c>
      <c r="H4" t="s">
        <v>17</v>
      </c>
      <c r="I4" t="s">
        <v>123</v>
      </c>
      <c r="J4" s="15">
        <v>42872</v>
      </c>
      <c r="K4" s="15"/>
      <c r="L4">
        <v>50000000</v>
      </c>
      <c r="M4" t="s">
        <v>114</v>
      </c>
      <c r="N4"/>
    </row>
    <row r="5" spans="1:17" x14ac:dyDescent="0.25">
      <c r="A5" s="15">
        <v>42872</v>
      </c>
      <c r="B5" t="s">
        <v>160</v>
      </c>
      <c r="C5" t="s">
        <v>161</v>
      </c>
      <c r="D5">
        <v>10126095</v>
      </c>
      <c r="E5" t="s">
        <v>77</v>
      </c>
      <c r="F5" t="s">
        <v>105</v>
      </c>
      <c r="G5" t="s">
        <v>102</v>
      </c>
      <c r="H5" t="s">
        <v>5</v>
      </c>
      <c r="I5" t="s">
        <v>140</v>
      </c>
      <c r="J5" s="15">
        <v>42872</v>
      </c>
      <c r="K5" s="15">
        <v>43056</v>
      </c>
      <c r="L5">
        <v>7700000000</v>
      </c>
      <c r="M5" t="s">
        <v>114</v>
      </c>
      <c r="N5"/>
    </row>
    <row r="6" spans="1:17" x14ac:dyDescent="0.25">
      <c r="A6" s="15">
        <v>42872</v>
      </c>
      <c r="B6" t="s">
        <v>162</v>
      </c>
      <c r="C6" t="s">
        <v>163</v>
      </c>
      <c r="D6">
        <v>10229701</v>
      </c>
      <c r="E6" t="s">
        <v>77</v>
      </c>
      <c r="F6" t="s">
        <v>105</v>
      </c>
      <c r="G6" t="s">
        <v>102</v>
      </c>
      <c r="H6" t="s">
        <v>4</v>
      </c>
      <c r="I6" t="s">
        <v>91</v>
      </c>
      <c r="J6" s="15">
        <v>42872</v>
      </c>
      <c r="K6" s="15">
        <v>43056</v>
      </c>
      <c r="L6">
        <v>5000000000</v>
      </c>
      <c r="M6" t="s">
        <v>114</v>
      </c>
      <c r="N6"/>
    </row>
    <row r="7" spans="1:17" x14ac:dyDescent="0.25">
      <c r="A7" s="15">
        <v>42872</v>
      </c>
      <c r="B7" t="s">
        <v>164</v>
      </c>
      <c r="C7" t="s">
        <v>165</v>
      </c>
      <c r="D7">
        <v>10334023</v>
      </c>
      <c r="E7" t="s">
        <v>77</v>
      </c>
      <c r="F7" t="s">
        <v>105</v>
      </c>
      <c r="G7" t="s">
        <v>102</v>
      </c>
      <c r="H7" t="s">
        <v>15</v>
      </c>
      <c r="I7" t="s">
        <v>124</v>
      </c>
      <c r="J7" s="15">
        <v>42872</v>
      </c>
      <c r="K7" s="15">
        <v>43056</v>
      </c>
      <c r="L7">
        <v>400000000</v>
      </c>
      <c r="M7" t="s">
        <v>114</v>
      </c>
      <c r="N7"/>
    </row>
    <row r="8" spans="1:17" x14ac:dyDescent="0.25">
      <c r="A8" s="15">
        <v>42872</v>
      </c>
      <c r="B8" t="s">
        <v>166</v>
      </c>
      <c r="C8" t="s">
        <v>167</v>
      </c>
      <c r="D8">
        <v>10112836</v>
      </c>
      <c r="E8" t="s">
        <v>77</v>
      </c>
      <c r="F8" t="s">
        <v>103</v>
      </c>
      <c r="G8" t="s">
        <v>102</v>
      </c>
      <c r="H8" t="s">
        <v>1</v>
      </c>
      <c r="I8" t="s">
        <v>83</v>
      </c>
      <c r="J8" s="15">
        <v>42872</v>
      </c>
      <c r="K8" s="15"/>
      <c r="L8">
        <v>20000000</v>
      </c>
      <c r="M8" t="s">
        <v>114</v>
      </c>
      <c r="N8"/>
    </row>
    <row r="9" spans="1:17" x14ac:dyDescent="0.25">
      <c r="A9" s="15">
        <v>42872</v>
      </c>
      <c r="B9" t="s">
        <v>168</v>
      </c>
      <c r="C9" t="s">
        <v>169</v>
      </c>
      <c r="D9">
        <v>10302634</v>
      </c>
      <c r="E9" t="s">
        <v>77</v>
      </c>
      <c r="F9" t="s">
        <v>105</v>
      </c>
      <c r="G9" t="s">
        <v>102</v>
      </c>
      <c r="H9" t="s">
        <v>6</v>
      </c>
      <c r="I9" t="s">
        <v>121</v>
      </c>
      <c r="J9" s="15">
        <v>42872</v>
      </c>
      <c r="K9" s="15">
        <v>43056</v>
      </c>
      <c r="L9">
        <v>1000000000</v>
      </c>
      <c r="M9" t="s">
        <v>114</v>
      </c>
      <c r="N9"/>
    </row>
    <row r="10" spans="1:17" x14ac:dyDescent="0.25">
      <c r="A10" s="15">
        <v>42872</v>
      </c>
      <c r="B10" t="s">
        <v>170</v>
      </c>
      <c r="C10" t="s">
        <v>171</v>
      </c>
      <c r="D10">
        <v>10290014</v>
      </c>
      <c r="E10" t="s">
        <v>77</v>
      </c>
      <c r="F10" t="s">
        <v>105</v>
      </c>
      <c r="G10" t="s">
        <v>102</v>
      </c>
      <c r="H10" t="s">
        <v>26</v>
      </c>
      <c r="I10" t="s">
        <v>88</v>
      </c>
      <c r="J10" s="15">
        <v>42872</v>
      </c>
      <c r="K10" s="15">
        <v>43056</v>
      </c>
      <c r="L10">
        <v>40000000</v>
      </c>
      <c r="M10" t="s">
        <v>114</v>
      </c>
      <c r="N10"/>
    </row>
    <row r="11" spans="1:17" x14ac:dyDescent="0.25">
      <c r="A11" s="15">
        <v>42872</v>
      </c>
      <c r="B11" t="s">
        <v>172</v>
      </c>
      <c r="C11" t="s">
        <v>165</v>
      </c>
      <c r="D11">
        <v>10334023</v>
      </c>
      <c r="E11" t="s">
        <v>77</v>
      </c>
      <c r="F11" t="s">
        <v>105</v>
      </c>
      <c r="G11" t="s">
        <v>102</v>
      </c>
      <c r="H11" t="s">
        <v>15</v>
      </c>
      <c r="I11" t="s">
        <v>124</v>
      </c>
      <c r="J11" s="15">
        <v>42872</v>
      </c>
      <c r="K11" s="15">
        <v>43056</v>
      </c>
      <c r="L11">
        <v>500000000</v>
      </c>
      <c r="M11" t="s">
        <v>114</v>
      </c>
      <c r="N11"/>
    </row>
    <row r="12" spans="1:17" x14ac:dyDescent="0.25">
      <c r="A12" s="15">
        <v>42872</v>
      </c>
      <c r="B12" t="s">
        <v>173</v>
      </c>
      <c r="C12" t="s">
        <v>174</v>
      </c>
      <c r="D12">
        <v>10295926</v>
      </c>
      <c r="E12" t="s">
        <v>77</v>
      </c>
      <c r="F12" t="s">
        <v>105</v>
      </c>
      <c r="G12" t="s">
        <v>102</v>
      </c>
      <c r="H12" t="s">
        <v>4</v>
      </c>
      <c r="I12" t="s">
        <v>91</v>
      </c>
      <c r="J12" s="15">
        <v>42872</v>
      </c>
      <c r="K12" s="15">
        <v>43056</v>
      </c>
      <c r="L12">
        <v>3090000000</v>
      </c>
      <c r="M12" t="s">
        <v>114</v>
      </c>
      <c r="N12"/>
    </row>
    <row r="13" spans="1:17" x14ac:dyDescent="0.25">
      <c r="A13" s="15">
        <v>42872</v>
      </c>
      <c r="B13" t="s">
        <v>175</v>
      </c>
      <c r="C13" t="s">
        <v>163</v>
      </c>
      <c r="D13">
        <v>10229701</v>
      </c>
      <c r="E13" t="s">
        <v>77</v>
      </c>
      <c r="F13" t="s">
        <v>105</v>
      </c>
      <c r="G13" t="s">
        <v>102</v>
      </c>
      <c r="H13" t="s">
        <v>4</v>
      </c>
      <c r="I13" t="s">
        <v>91</v>
      </c>
      <c r="J13" s="15">
        <v>42872</v>
      </c>
      <c r="K13" s="15">
        <v>43056</v>
      </c>
      <c r="L13">
        <v>5000000000</v>
      </c>
      <c r="M13" t="s">
        <v>114</v>
      </c>
      <c r="N13"/>
    </row>
    <row r="14" spans="1:17" x14ac:dyDescent="0.25">
      <c r="A14" s="15">
        <v>42872</v>
      </c>
      <c r="C14" t="s">
        <v>176</v>
      </c>
      <c r="D14">
        <v>10334827</v>
      </c>
      <c r="E14" t="s">
        <v>77</v>
      </c>
      <c r="F14" t="s">
        <v>101</v>
      </c>
      <c r="G14" t="s">
        <v>102</v>
      </c>
      <c r="H14" t="s">
        <v>28</v>
      </c>
      <c r="I14" t="s">
        <v>86</v>
      </c>
      <c r="J14" s="15">
        <v>42872</v>
      </c>
      <c r="K14" s="15"/>
      <c r="L14">
        <v>26844000</v>
      </c>
      <c r="M14" t="s">
        <v>114</v>
      </c>
      <c r="N14"/>
    </row>
    <row r="15" spans="1:17" x14ac:dyDescent="0.25">
      <c r="A15" s="15">
        <v>42872</v>
      </c>
      <c r="C15" t="s">
        <v>177</v>
      </c>
      <c r="D15">
        <v>10309878</v>
      </c>
      <c r="E15" t="s">
        <v>77</v>
      </c>
      <c r="F15" t="s">
        <v>101</v>
      </c>
      <c r="G15" t="s">
        <v>102</v>
      </c>
      <c r="H15" t="s">
        <v>5</v>
      </c>
      <c r="I15" t="s">
        <v>140</v>
      </c>
      <c r="J15" s="15">
        <v>42872</v>
      </c>
      <c r="K15" s="15"/>
      <c r="L15">
        <v>2023375</v>
      </c>
      <c r="M15" t="s">
        <v>114</v>
      </c>
      <c r="N15"/>
    </row>
    <row r="16" spans="1:17" x14ac:dyDescent="0.25">
      <c r="A16" s="15">
        <v>42872</v>
      </c>
      <c r="B16" t="s">
        <v>178</v>
      </c>
      <c r="C16" t="s">
        <v>179</v>
      </c>
      <c r="D16">
        <v>10247459</v>
      </c>
      <c r="E16" t="s">
        <v>77</v>
      </c>
      <c r="F16" t="s">
        <v>103</v>
      </c>
      <c r="G16" t="s">
        <v>102</v>
      </c>
      <c r="H16" t="s">
        <v>12</v>
      </c>
      <c r="I16" t="s">
        <v>108</v>
      </c>
      <c r="J16" s="15">
        <v>42872</v>
      </c>
      <c r="K16" s="15"/>
      <c r="L16">
        <v>40000000</v>
      </c>
      <c r="M16" t="s">
        <v>114</v>
      </c>
      <c r="N16"/>
    </row>
    <row r="17" spans="1:14" x14ac:dyDescent="0.25">
      <c r="A17" s="15">
        <v>42872</v>
      </c>
      <c r="B17" t="s">
        <v>180</v>
      </c>
      <c r="C17" t="s">
        <v>181</v>
      </c>
      <c r="D17">
        <v>10395728</v>
      </c>
      <c r="E17" t="s">
        <v>77</v>
      </c>
      <c r="F17" t="s">
        <v>103</v>
      </c>
      <c r="G17" t="s">
        <v>102</v>
      </c>
      <c r="H17" t="s">
        <v>30</v>
      </c>
      <c r="I17" t="s">
        <v>0</v>
      </c>
      <c r="J17" s="15">
        <v>42872</v>
      </c>
      <c r="K17" s="15"/>
      <c r="L17">
        <v>60000000</v>
      </c>
      <c r="M17" t="s">
        <v>114</v>
      </c>
      <c r="N17"/>
    </row>
    <row r="18" spans="1:14" x14ac:dyDescent="0.25">
      <c r="A18" s="15">
        <v>42872</v>
      </c>
      <c r="B18" t="s">
        <v>182</v>
      </c>
      <c r="C18" t="s">
        <v>183</v>
      </c>
      <c r="D18">
        <v>10258295</v>
      </c>
      <c r="E18" t="s">
        <v>77</v>
      </c>
      <c r="F18" t="s">
        <v>103</v>
      </c>
      <c r="G18" t="s">
        <v>102</v>
      </c>
      <c r="H18" t="s">
        <v>27</v>
      </c>
      <c r="I18" t="s">
        <v>82</v>
      </c>
      <c r="J18" s="15">
        <v>42872</v>
      </c>
      <c r="K18" s="15"/>
      <c r="L18">
        <v>200000000</v>
      </c>
      <c r="M18" t="s">
        <v>114</v>
      </c>
      <c r="N18"/>
    </row>
    <row r="19" spans="1:14" x14ac:dyDescent="0.25">
      <c r="A19" s="15">
        <v>42872</v>
      </c>
      <c r="B19" t="s">
        <v>184</v>
      </c>
      <c r="C19" t="s">
        <v>185</v>
      </c>
      <c r="D19">
        <v>10363228</v>
      </c>
      <c r="E19" t="s">
        <v>77</v>
      </c>
      <c r="F19" t="s">
        <v>103</v>
      </c>
      <c r="G19" t="s">
        <v>102</v>
      </c>
      <c r="H19" t="s">
        <v>12</v>
      </c>
      <c r="I19" t="s">
        <v>108</v>
      </c>
      <c r="J19" s="15">
        <v>42872</v>
      </c>
      <c r="K19" s="15"/>
      <c r="L19">
        <v>200000000</v>
      </c>
      <c r="M19" t="s">
        <v>114</v>
      </c>
      <c r="N19"/>
    </row>
    <row r="20" spans="1:14" x14ac:dyDescent="0.25">
      <c r="A20" s="15">
        <v>42872</v>
      </c>
      <c r="B20" t="s">
        <v>186</v>
      </c>
      <c r="C20" t="s">
        <v>187</v>
      </c>
      <c r="D20">
        <v>10363483</v>
      </c>
      <c r="E20" t="s">
        <v>77</v>
      </c>
      <c r="F20" t="s">
        <v>104</v>
      </c>
      <c r="G20" t="s">
        <v>102</v>
      </c>
      <c r="H20" t="s">
        <v>27</v>
      </c>
      <c r="I20" t="s">
        <v>82</v>
      </c>
      <c r="J20" s="15">
        <v>42872</v>
      </c>
      <c r="K20" s="15"/>
      <c r="L20">
        <v>530000000</v>
      </c>
      <c r="M20" t="s">
        <v>114</v>
      </c>
      <c r="N20"/>
    </row>
    <row r="21" spans="1:14" x14ac:dyDescent="0.25">
      <c r="A21" s="15">
        <v>42872</v>
      </c>
      <c r="B21" t="s">
        <v>188</v>
      </c>
      <c r="C21" t="s">
        <v>189</v>
      </c>
      <c r="D21">
        <v>10131939</v>
      </c>
      <c r="E21" t="s">
        <v>77</v>
      </c>
      <c r="F21" t="s">
        <v>104</v>
      </c>
      <c r="G21" t="s">
        <v>102</v>
      </c>
      <c r="H21" t="s">
        <v>23</v>
      </c>
      <c r="I21" t="s">
        <v>87</v>
      </c>
      <c r="J21" s="15">
        <v>42872</v>
      </c>
      <c r="K21" s="15"/>
      <c r="L21">
        <v>300000000</v>
      </c>
      <c r="M21" t="s">
        <v>114</v>
      </c>
      <c r="N21"/>
    </row>
    <row r="22" spans="1:14" x14ac:dyDescent="0.25">
      <c r="A22" s="15">
        <v>42872</v>
      </c>
      <c r="B22" t="s">
        <v>190</v>
      </c>
      <c r="C22" t="s">
        <v>191</v>
      </c>
      <c r="D22">
        <v>10309159</v>
      </c>
      <c r="E22" t="s">
        <v>77</v>
      </c>
      <c r="F22" t="s">
        <v>105</v>
      </c>
      <c r="G22" t="s">
        <v>102</v>
      </c>
      <c r="H22" t="s">
        <v>9</v>
      </c>
      <c r="I22" t="s">
        <v>111</v>
      </c>
      <c r="J22" s="15">
        <v>42872</v>
      </c>
      <c r="K22" s="15">
        <v>43056</v>
      </c>
      <c r="L22">
        <v>300000000</v>
      </c>
      <c r="M22" t="s">
        <v>114</v>
      </c>
      <c r="N22"/>
    </row>
    <row r="23" spans="1:14" x14ac:dyDescent="0.25">
      <c r="A23" s="15">
        <v>42872</v>
      </c>
      <c r="B23" t="s">
        <v>192</v>
      </c>
      <c r="C23" t="s">
        <v>193</v>
      </c>
      <c r="D23">
        <v>10351132</v>
      </c>
      <c r="E23" t="s">
        <v>77</v>
      </c>
      <c r="F23" t="s">
        <v>105</v>
      </c>
      <c r="G23" t="s">
        <v>102</v>
      </c>
      <c r="H23" t="s">
        <v>24</v>
      </c>
      <c r="I23" t="s">
        <v>90</v>
      </c>
      <c r="J23" s="15">
        <v>42872</v>
      </c>
      <c r="K23" s="15">
        <v>43056</v>
      </c>
      <c r="L23">
        <v>1000000000</v>
      </c>
      <c r="M23" t="s">
        <v>114</v>
      </c>
      <c r="N23"/>
    </row>
    <row r="24" spans="1:14" x14ac:dyDescent="0.25">
      <c r="A24" s="15">
        <v>42872</v>
      </c>
      <c r="B24" t="s">
        <v>194</v>
      </c>
      <c r="C24" t="s">
        <v>195</v>
      </c>
      <c r="D24">
        <v>10120732</v>
      </c>
      <c r="E24" t="s">
        <v>77</v>
      </c>
      <c r="F24" t="s">
        <v>105</v>
      </c>
      <c r="G24" t="s">
        <v>102</v>
      </c>
      <c r="H24" t="s">
        <v>23</v>
      </c>
      <c r="I24" t="s">
        <v>87</v>
      </c>
      <c r="J24" s="15">
        <v>42872</v>
      </c>
      <c r="K24" s="15">
        <v>43269</v>
      </c>
      <c r="L24">
        <v>150000000</v>
      </c>
      <c r="M24" t="s">
        <v>114</v>
      </c>
      <c r="N24"/>
    </row>
    <row r="25" spans="1:14" x14ac:dyDescent="0.25">
      <c r="A25" s="15">
        <v>42872</v>
      </c>
      <c r="B25" t="s">
        <v>196</v>
      </c>
      <c r="C25" t="s">
        <v>197</v>
      </c>
      <c r="D25">
        <v>10151327</v>
      </c>
      <c r="E25" t="s">
        <v>77</v>
      </c>
      <c r="F25" t="s">
        <v>105</v>
      </c>
      <c r="G25" t="s">
        <v>102</v>
      </c>
      <c r="H25" t="s">
        <v>22</v>
      </c>
      <c r="I25" t="s">
        <v>137</v>
      </c>
      <c r="J25" s="15">
        <v>42872</v>
      </c>
      <c r="K25" s="15">
        <v>43056</v>
      </c>
      <c r="L25">
        <v>500000000</v>
      </c>
      <c r="M25" t="s">
        <v>114</v>
      </c>
      <c r="N25"/>
    </row>
    <row r="26" spans="1:14" x14ac:dyDescent="0.25">
      <c r="A26" s="15">
        <v>42872</v>
      </c>
      <c r="B26" t="s">
        <v>198</v>
      </c>
      <c r="C26" t="s">
        <v>199</v>
      </c>
      <c r="D26">
        <v>10402264</v>
      </c>
      <c r="E26" t="s">
        <v>77</v>
      </c>
      <c r="F26" t="s">
        <v>105</v>
      </c>
      <c r="G26" t="s">
        <v>102</v>
      </c>
      <c r="H26" t="s">
        <v>26</v>
      </c>
      <c r="I26" t="s">
        <v>88</v>
      </c>
      <c r="J26" s="15">
        <v>42872</v>
      </c>
      <c r="K26" s="15">
        <v>43056</v>
      </c>
      <c r="L26">
        <v>340000000</v>
      </c>
      <c r="M26" t="s">
        <v>114</v>
      </c>
      <c r="N26"/>
    </row>
    <row r="27" spans="1:14" x14ac:dyDescent="0.25">
      <c r="A27" s="15">
        <v>42872</v>
      </c>
      <c r="C27" t="s">
        <v>200</v>
      </c>
      <c r="D27">
        <v>10402534</v>
      </c>
      <c r="E27" t="s">
        <v>77</v>
      </c>
      <c r="F27" t="s">
        <v>101</v>
      </c>
      <c r="G27" t="s">
        <v>102</v>
      </c>
      <c r="H27" t="s">
        <v>18</v>
      </c>
      <c r="I27" t="s">
        <v>112</v>
      </c>
      <c r="J27" s="15">
        <v>42872</v>
      </c>
      <c r="K27" s="15"/>
      <c r="L27">
        <v>2000000</v>
      </c>
      <c r="M27" t="s">
        <v>114</v>
      </c>
      <c r="N27"/>
    </row>
    <row r="28" spans="1:14" x14ac:dyDescent="0.25">
      <c r="A28" s="15">
        <v>42872</v>
      </c>
      <c r="B28" t="s">
        <v>201</v>
      </c>
      <c r="C28" t="s">
        <v>202</v>
      </c>
      <c r="D28">
        <v>10096797</v>
      </c>
      <c r="E28" t="s">
        <v>77</v>
      </c>
      <c r="F28" t="s">
        <v>104</v>
      </c>
      <c r="G28" t="s">
        <v>102</v>
      </c>
      <c r="H28" t="s">
        <v>28</v>
      </c>
      <c r="I28" t="s">
        <v>86</v>
      </c>
      <c r="J28" s="15">
        <v>42872</v>
      </c>
      <c r="K28" s="15"/>
      <c r="L28">
        <v>150000000</v>
      </c>
      <c r="M28" t="s">
        <v>114</v>
      </c>
      <c r="N28"/>
    </row>
    <row r="29" spans="1:14" x14ac:dyDescent="0.25">
      <c r="A29" s="15">
        <v>42872</v>
      </c>
      <c r="B29" t="s">
        <v>203</v>
      </c>
      <c r="C29" t="s">
        <v>204</v>
      </c>
      <c r="D29">
        <v>10146915</v>
      </c>
      <c r="E29" t="s">
        <v>77</v>
      </c>
      <c r="F29" t="s">
        <v>103</v>
      </c>
      <c r="G29" t="s">
        <v>102</v>
      </c>
      <c r="H29" t="s">
        <v>14</v>
      </c>
      <c r="I29" t="s">
        <v>81</v>
      </c>
      <c r="J29" s="15">
        <v>42872</v>
      </c>
      <c r="K29" s="15"/>
      <c r="L29">
        <v>20000000</v>
      </c>
      <c r="M29" t="s">
        <v>114</v>
      </c>
      <c r="N29"/>
    </row>
    <row r="30" spans="1:14" x14ac:dyDescent="0.25">
      <c r="A30" s="15">
        <v>42872</v>
      </c>
      <c r="B30" t="s">
        <v>205</v>
      </c>
      <c r="C30" t="s">
        <v>206</v>
      </c>
      <c r="D30">
        <v>10397934</v>
      </c>
      <c r="E30" t="s">
        <v>77</v>
      </c>
      <c r="F30" t="s">
        <v>104</v>
      </c>
      <c r="G30" t="s">
        <v>102</v>
      </c>
      <c r="H30" t="s">
        <v>5</v>
      </c>
      <c r="I30" t="s">
        <v>140</v>
      </c>
      <c r="J30" s="15">
        <v>42872</v>
      </c>
      <c r="K30" s="15"/>
      <c r="L30">
        <v>0</v>
      </c>
      <c r="M30" t="s">
        <v>114</v>
      </c>
      <c r="N30"/>
    </row>
    <row r="31" spans="1:14" x14ac:dyDescent="0.25">
      <c r="A31" s="15">
        <v>42872</v>
      </c>
      <c r="B31" t="s">
        <v>207</v>
      </c>
      <c r="C31" t="s">
        <v>208</v>
      </c>
      <c r="D31">
        <v>10153262</v>
      </c>
      <c r="E31" t="s">
        <v>77</v>
      </c>
      <c r="F31" t="s">
        <v>103</v>
      </c>
      <c r="G31" t="s">
        <v>102</v>
      </c>
      <c r="H31" t="s">
        <v>4</v>
      </c>
      <c r="I31" t="s">
        <v>91</v>
      </c>
      <c r="J31" s="15">
        <v>42872</v>
      </c>
      <c r="K31" s="15"/>
      <c r="L31">
        <v>115000000</v>
      </c>
      <c r="M31" t="s">
        <v>114</v>
      </c>
      <c r="N31"/>
    </row>
    <row r="32" spans="1:14" x14ac:dyDescent="0.25">
      <c r="A32" s="15">
        <v>42872</v>
      </c>
      <c r="B32" t="s">
        <v>209</v>
      </c>
      <c r="C32" t="s">
        <v>210</v>
      </c>
      <c r="D32">
        <v>10375929</v>
      </c>
      <c r="E32" t="s">
        <v>77</v>
      </c>
      <c r="F32" t="s">
        <v>105</v>
      </c>
      <c r="G32" t="s">
        <v>102</v>
      </c>
      <c r="H32" t="s">
        <v>2</v>
      </c>
      <c r="I32" t="s">
        <v>78</v>
      </c>
      <c r="J32" s="15">
        <v>42872</v>
      </c>
      <c r="K32" s="15">
        <v>43056</v>
      </c>
      <c r="L32">
        <v>500000000</v>
      </c>
      <c r="M32" t="s">
        <v>114</v>
      </c>
      <c r="N32"/>
    </row>
    <row r="33" spans="1:14" x14ac:dyDescent="0.25">
      <c r="A33" s="15">
        <v>42872</v>
      </c>
      <c r="B33" t="s">
        <v>211</v>
      </c>
      <c r="C33" t="s">
        <v>212</v>
      </c>
      <c r="D33">
        <v>10283185</v>
      </c>
      <c r="E33" t="s">
        <v>77</v>
      </c>
      <c r="F33" t="s">
        <v>103</v>
      </c>
      <c r="G33" t="s">
        <v>102</v>
      </c>
      <c r="H33" t="s">
        <v>27</v>
      </c>
      <c r="I33" t="s">
        <v>82</v>
      </c>
      <c r="J33" s="15">
        <v>42872</v>
      </c>
      <c r="K33" s="15"/>
      <c r="L33">
        <v>35000000</v>
      </c>
      <c r="M33" t="s">
        <v>114</v>
      </c>
      <c r="N33"/>
    </row>
    <row r="34" spans="1:14" x14ac:dyDescent="0.25">
      <c r="A34" s="15">
        <v>42872</v>
      </c>
      <c r="B34" t="s">
        <v>213</v>
      </c>
      <c r="C34" t="s">
        <v>214</v>
      </c>
      <c r="D34">
        <v>10307702</v>
      </c>
      <c r="E34" t="s">
        <v>77</v>
      </c>
      <c r="F34" t="s">
        <v>103</v>
      </c>
      <c r="G34" t="s">
        <v>102</v>
      </c>
      <c r="H34" t="s">
        <v>10</v>
      </c>
      <c r="I34" t="s">
        <v>85</v>
      </c>
      <c r="J34" s="15">
        <v>42872</v>
      </c>
      <c r="K34" s="15"/>
      <c r="L34">
        <v>66500000</v>
      </c>
      <c r="M34" t="s">
        <v>114</v>
      </c>
      <c r="N34"/>
    </row>
    <row r="35" spans="1:14" x14ac:dyDescent="0.25">
      <c r="A35" s="15">
        <v>42872</v>
      </c>
      <c r="B35" t="s">
        <v>215</v>
      </c>
      <c r="C35" t="s">
        <v>216</v>
      </c>
      <c r="D35">
        <v>10235027</v>
      </c>
      <c r="E35" t="s">
        <v>77</v>
      </c>
      <c r="F35" t="s">
        <v>103</v>
      </c>
      <c r="G35" t="s">
        <v>102</v>
      </c>
      <c r="H35" t="s">
        <v>5</v>
      </c>
      <c r="I35" t="s">
        <v>140</v>
      </c>
      <c r="J35" s="15">
        <v>42872</v>
      </c>
      <c r="K35" s="15"/>
      <c r="L35">
        <v>5000000000</v>
      </c>
      <c r="M35" t="s">
        <v>115</v>
      </c>
      <c r="N35"/>
    </row>
    <row r="36" spans="1:14" x14ac:dyDescent="0.25">
      <c r="A36" s="15">
        <v>42872</v>
      </c>
      <c r="B36" t="s">
        <v>217</v>
      </c>
      <c r="C36" t="s">
        <v>218</v>
      </c>
      <c r="D36">
        <v>10398036</v>
      </c>
      <c r="E36" t="s">
        <v>77</v>
      </c>
      <c r="F36" t="s">
        <v>103</v>
      </c>
      <c r="G36" t="s">
        <v>102</v>
      </c>
      <c r="H36" t="s">
        <v>1</v>
      </c>
      <c r="I36" t="s">
        <v>83</v>
      </c>
      <c r="J36" s="15">
        <v>42872</v>
      </c>
      <c r="K36" s="15"/>
      <c r="L36">
        <v>250000000</v>
      </c>
      <c r="M36" t="s">
        <v>114</v>
      </c>
      <c r="N36"/>
    </row>
    <row r="37" spans="1:14" x14ac:dyDescent="0.25">
      <c r="A37" s="15">
        <v>42872</v>
      </c>
      <c r="B37" t="s">
        <v>219</v>
      </c>
      <c r="C37" t="s">
        <v>220</v>
      </c>
      <c r="D37">
        <v>10304747</v>
      </c>
      <c r="E37" t="s">
        <v>77</v>
      </c>
      <c r="F37" t="s">
        <v>105</v>
      </c>
      <c r="G37" t="s">
        <v>102</v>
      </c>
      <c r="H37" t="s">
        <v>4</v>
      </c>
      <c r="I37" t="s">
        <v>91</v>
      </c>
      <c r="J37" s="15">
        <v>42872</v>
      </c>
      <c r="K37" s="15">
        <v>43056</v>
      </c>
      <c r="L37">
        <v>250000000</v>
      </c>
      <c r="M37" t="s">
        <v>114</v>
      </c>
      <c r="N37"/>
    </row>
    <row r="38" spans="1:14" x14ac:dyDescent="0.25">
      <c r="A38" s="15">
        <v>42872</v>
      </c>
      <c r="B38" t="s">
        <v>221</v>
      </c>
      <c r="C38" t="s">
        <v>222</v>
      </c>
      <c r="D38">
        <v>10342728</v>
      </c>
      <c r="E38" t="s">
        <v>77</v>
      </c>
      <c r="F38" t="s">
        <v>105</v>
      </c>
      <c r="G38" t="s">
        <v>102</v>
      </c>
      <c r="H38" t="s">
        <v>14</v>
      </c>
      <c r="I38" t="s">
        <v>81</v>
      </c>
      <c r="J38" s="15">
        <v>42872</v>
      </c>
      <c r="K38" s="15">
        <v>43056</v>
      </c>
      <c r="L38">
        <v>425000000</v>
      </c>
      <c r="M38" t="s">
        <v>114</v>
      </c>
      <c r="N38"/>
    </row>
    <row r="39" spans="1:14" x14ac:dyDescent="0.25">
      <c r="A39" s="15">
        <v>42872</v>
      </c>
      <c r="B39" t="s">
        <v>223</v>
      </c>
      <c r="C39" t="s">
        <v>163</v>
      </c>
      <c r="D39">
        <v>10229701</v>
      </c>
      <c r="E39" t="s">
        <v>77</v>
      </c>
      <c r="F39" t="s">
        <v>105</v>
      </c>
      <c r="G39" t="s">
        <v>102</v>
      </c>
      <c r="H39" t="s">
        <v>4</v>
      </c>
      <c r="I39" t="s">
        <v>91</v>
      </c>
      <c r="J39" s="15">
        <v>42872</v>
      </c>
      <c r="K39" s="15">
        <v>43056</v>
      </c>
      <c r="L39">
        <v>5000000000</v>
      </c>
      <c r="M39" t="s">
        <v>114</v>
      </c>
      <c r="N39"/>
    </row>
    <row r="40" spans="1:14" x14ac:dyDescent="0.25">
      <c r="A40" s="15">
        <v>42872</v>
      </c>
      <c r="B40" t="s">
        <v>224</v>
      </c>
      <c r="C40" t="s">
        <v>225</v>
      </c>
      <c r="D40">
        <v>10336002</v>
      </c>
      <c r="E40" t="s">
        <v>77</v>
      </c>
      <c r="F40" t="s">
        <v>105</v>
      </c>
      <c r="G40" t="s">
        <v>102</v>
      </c>
      <c r="H40" t="s">
        <v>18</v>
      </c>
      <c r="I40" t="s">
        <v>112</v>
      </c>
      <c r="J40" s="15">
        <v>42872</v>
      </c>
      <c r="K40" s="15">
        <v>43056</v>
      </c>
      <c r="L40">
        <v>4000000000</v>
      </c>
      <c r="M40" t="s">
        <v>114</v>
      </c>
      <c r="N40"/>
    </row>
    <row r="41" spans="1:14" x14ac:dyDescent="0.25">
      <c r="A41" s="15">
        <v>42872</v>
      </c>
      <c r="B41" t="s">
        <v>226</v>
      </c>
      <c r="C41" t="s">
        <v>227</v>
      </c>
      <c r="D41">
        <v>10364083</v>
      </c>
      <c r="E41" t="s">
        <v>77</v>
      </c>
      <c r="F41" t="s">
        <v>103</v>
      </c>
      <c r="G41" t="s">
        <v>102</v>
      </c>
      <c r="H41" t="s">
        <v>1</v>
      </c>
      <c r="I41" t="s">
        <v>83</v>
      </c>
      <c r="J41" s="15">
        <v>42872</v>
      </c>
      <c r="K41" s="15"/>
      <c r="L41">
        <v>80000000</v>
      </c>
      <c r="M41" t="s">
        <v>114</v>
      </c>
      <c r="N41"/>
    </row>
    <row r="42" spans="1:14" x14ac:dyDescent="0.25">
      <c r="A42" s="15">
        <v>42872</v>
      </c>
      <c r="B42" t="s">
        <v>228</v>
      </c>
      <c r="C42" t="s">
        <v>229</v>
      </c>
      <c r="D42">
        <v>10362569</v>
      </c>
      <c r="E42" t="s">
        <v>77</v>
      </c>
      <c r="F42" t="s">
        <v>103</v>
      </c>
      <c r="G42" t="s">
        <v>102</v>
      </c>
      <c r="H42" t="s">
        <v>27</v>
      </c>
      <c r="I42" t="s">
        <v>82</v>
      </c>
      <c r="J42" s="15">
        <v>42872</v>
      </c>
      <c r="K42" s="15"/>
      <c r="L42">
        <v>600000000</v>
      </c>
      <c r="M42" t="s">
        <v>114</v>
      </c>
      <c r="N42"/>
    </row>
    <row r="43" spans="1:14" x14ac:dyDescent="0.25">
      <c r="A43" s="15">
        <v>42872</v>
      </c>
      <c r="B43" t="s">
        <v>230</v>
      </c>
      <c r="C43" t="s">
        <v>231</v>
      </c>
      <c r="D43">
        <v>10349148</v>
      </c>
      <c r="E43" t="s">
        <v>77</v>
      </c>
      <c r="F43" t="s">
        <v>103</v>
      </c>
      <c r="G43" t="s">
        <v>102</v>
      </c>
      <c r="H43" t="s">
        <v>18</v>
      </c>
      <c r="I43" t="s">
        <v>112</v>
      </c>
      <c r="J43" s="15">
        <v>42872</v>
      </c>
      <c r="K43" s="15"/>
      <c r="L43">
        <v>190000000</v>
      </c>
      <c r="M43" t="s">
        <v>114</v>
      </c>
      <c r="N43"/>
    </row>
    <row r="44" spans="1:14" x14ac:dyDescent="0.25">
      <c r="A44" s="15">
        <v>42872</v>
      </c>
      <c r="B44" t="s">
        <v>232</v>
      </c>
      <c r="C44" t="s">
        <v>233</v>
      </c>
      <c r="D44">
        <v>10363294</v>
      </c>
      <c r="E44" t="s">
        <v>77</v>
      </c>
      <c r="F44" t="s">
        <v>103</v>
      </c>
      <c r="G44" t="s">
        <v>102</v>
      </c>
      <c r="H44" t="s">
        <v>9</v>
      </c>
      <c r="I44" t="s">
        <v>111</v>
      </c>
      <c r="J44" s="15">
        <v>42872</v>
      </c>
      <c r="K44" s="15"/>
      <c r="L44">
        <v>30000000</v>
      </c>
      <c r="M44" t="s">
        <v>114</v>
      </c>
      <c r="N44"/>
    </row>
    <row r="45" spans="1:14" x14ac:dyDescent="0.25">
      <c r="A45" s="15">
        <v>42872</v>
      </c>
      <c r="B45" t="s">
        <v>234</v>
      </c>
      <c r="C45" t="s">
        <v>235</v>
      </c>
      <c r="D45">
        <v>10402395</v>
      </c>
      <c r="E45" t="s">
        <v>77</v>
      </c>
      <c r="F45" t="s">
        <v>103</v>
      </c>
      <c r="G45" t="s">
        <v>102</v>
      </c>
      <c r="H45" t="s">
        <v>17</v>
      </c>
      <c r="I45" t="s">
        <v>123</v>
      </c>
      <c r="J45" s="15">
        <v>42872</v>
      </c>
      <c r="K45" s="15"/>
      <c r="L45">
        <v>80000000</v>
      </c>
      <c r="M45" t="s">
        <v>114</v>
      </c>
      <c r="N45"/>
    </row>
    <row r="46" spans="1:14" x14ac:dyDescent="0.25">
      <c r="A46" s="15">
        <v>42872</v>
      </c>
      <c r="B46" t="s">
        <v>236</v>
      </c>
      <c r="C46" t="s">
        <v>165</v>
      </c>
      <c r="D46">
        <v>10334023</v>
      </c>
      <c r="E46" t="s">
        <v>77</v>
      </c>
      <c r="F46" t="s">
        <v>105</v>
      </c>
      <c r="G46" t="s">
        <v>102</v>
      </c>
      <c r="H46" t="s">
        <v>15</v>
      </c>
      <c r="I46" t="s">
        <v>124</v>
      </c>
      <c r="J46" s="15">
        <v>42872</v>
      </c>
      <c r="K46" s="15">
        <v>43056</v>
      </c>
      <c r="L46">
        <v>500000000</v>
      </c>
      <c r="M46" t="s">
        <v>114</v>
      </c>
      <c r="N46"/>
    </row>
    <row r="47" spans="1:14" x14ac:dyDescent="0.25">
      <c r="A47" s="15">
        <v>42872</v>
      </c>
      <c r="B47" t="s">
        <v>237</v>
      </c>
      <c r="C47" t="s">
        <v>238</v>
      </c>
      <c r="D47">
        <v>10250777</v>
      </c>
      <c r="E47" t="s">
        <v>77</v>
      </c>
      <c r="F47" t="s">
        <v>105</v>
      </c>
      <c r="G47" t="s">
        <v>102</v>
      </c>
      <c r="H47" t="s">
        <v>14</v>
      </c>
      <c r="I47" t="s">
        <v>81</v>
      </c>
      <c r="J47" s="15">
        <v>42872</v>
      </c>
      <c r="K47" s="15">
        <v>43056</v>
      </c>
      <c r="L47">
        <v>62000000</v>
      </c>
      <c r="M47" t="s">
        <v>114</v>
      </c>
      <c r="N47"/>
    </row>
    <row r="48" spans="1:14" x14ac:dyDescent="0.25">
      <c r="A48" s="15">
        <v>42872</v>
      </c>
      <c r="B48" t="s">
        <v>239</v>
      </c>
      <c r="C48" t="s">
        <v>210</v>
      </c>
      <c r="D48">
        <v>10375929</v>
      </c>
      <c r="E48" t="s">
        <v>77</v>
      </c>
      <c r="F48" t="s">
        <v>105</v>
      </c>
      <c r="G48" t="s">
        <v>102</v>
      </c>
      <c r="H48" t="s">
        <v>2</v>
      </c>
      <c r="I48" t="s">
        <v>78</v>
      </c>
      <c r="J48" s="15">
        <v>42872</v>
      </c>
      <c r="K48" s="15">
        <v>43056</v>
      </c>
      <c r="L48">
        <v>1000000000</v>
      </c>
      <c r="M48" t="s">
        <v>114</v>
      </c>
      <c r="N48"/>
    </row>
    <row r="49" spans="1:14" x14ac:dyDescent="0.25">
      <c r="A49" s="15">
        <v>42872</v>
      </c>
      <c r="C49" t="s">
        <v>240</v>
      </c>
      <c r="D49">
        <v>10314045</v>
      </c>
      <c r="E49" t="s">
        <v>77</v>
      </c>
      <c r="F49" t="s">
        <v>101</v>
      </c>
      <c r="G49" t="s">
        <v>102</v>
      </c>
      <c r="H49" t="s">
        <v>2</v>
      </c>
      <c r="I49" t="s">
        <v>78</v>
      </c>
      <c r="J49" s="15">
        <v>42872</v>
      </c>
      <c r="K49" s="15"/>
      <c r="L49">
        <v>140000000</v>
      </c>
      <c r="M49" t="s">
        <v>114</v>
      </c>
      <c r="N49"/>
    </row>
    <row r="50" spans="1:14" x14ac:dyDescent="0.25">
      <c r="A50" s="15">
        <v>42872</v>
      </c>
      <c r="B50" t="s">
        <v>241</v>
      </c>
      <c r="C50" t="s">
        <v>242</v>
      </c>
      <c r="D50">
        <v>10222361</v>
      </c>
      <c r="E50" t="s">
        <v>77</v>
      </c>
      <c r="F50" t="s">
        <v>103</v>
      </c>
      <c r="G50" t="s">
        <v>102</v>
      </c>
      <c r="H50" t="s">
        <v>15</v>
      </c>
      <c r="I50" t="s">
        <v>124</v>
      </c>
      <c r="J50" s="15">
        <v>42872</v>
      </c>
      <c r="K50" s="15"/>
      <c r="L50">
        <v>84900000</v>
      </c>
      <c r="M50" t="s">
        <v>114</v>
      </c>
      <c r="N50"/>
    </row>
    <row r="51" spans="1:14" x14ac:dyDescent="0.25">
      <c r="A51" s="15">
        <v>42872</v>
      </c>
      <c r="B51" t="s">
        <v>243</v>
      </c>
      <c r="C51" t="s">
        <v>244</v>
      </c>
      <c r="D51">
        <v>10191581</v>
      </c>
      <c r="E51" t="s">
        <v>77</v>
      </c>
      <c r="F51" t="s">
        <v>103</v>
      </c>
      <c r="G51" t="s">
        <v>102</v>
      </c>
      <c r="H51" t="s">
        <v>14</v>
      </c>
      <c r="I51" t="s">
        <v>81</v>
      </c>
      <c r="J51" s="15">
        <v>42872</v>
      </c>
      <c r="K51" s="15"/>
      <c r="L51">
        <v>30000000</v>
      </c>
      <c r="M51" t="s">
        <v>114</v>
      </c>
      <c r="N51"/>
    </row>
    <row r="52" spans="1:14" x14ac:dyDescent="0.25">
      <c r="A52" s="15">
        <v>42872</v>
      </c>
      <c r="B52" t="s">
        <v>245</v>
      </c>
      <c r="C52" t="s">
        <v>246</v>
      </c>
      <c r="D52">
        <v>10402351</v>
      </c>
      <c r="E52" t="s">
        <v>77</v>
      </c>
      <c r="F52" t="s">
        <v>103</v>
      </c>
      <c r="G52" t="s">
        <v>102</v>
      </c>
      <c r="H52" t="s">
        <v>21</v>
      </c>
      <c r="I52" t="s">
        <v>110</v>
      </c>
      <c r="J52" s="15">
        <v>42872</v>
      </c>
      <c r="K52" s="15"/>
      <c r="L52">
        <v>400000000</v>
      </c>
      <c r="M52" t="s">
        <v>114</v>
      </c>
      <c r="N52"/>
    </row>
    <row r="53" spans="1:14" x14ac:dyDescent="0.25">
      <c r="A53" s="15">
        <v>42872</v>
      </c>
      <c r="B53" t="s">
        <v>247</v>
      </c>
      <c r="C53" t="s">
        <v>248</v>
      </c>
      <c r="D53">
        <v>10372243</v>
      </c>
      <c r="E53" t="s">
        <v>77</v>
      </c>
      <c r="F53" t="s">
        <v>103</v>
      </c>
      <c r="G53" t="s">
        <v>102</v>
      </c>
      <c r="H53" t="s">
        <v>26</v>
      </c>
      <c r="I53" t="s">
        <v>88</v>
      </c>
      <c r="J53" s="15">
        <v>42872</v>
      </c>
      <c r="K53" s="15"/>
      <c r="L53">
        <v>50000000</v>
      </c>
      <c r="M53" t="s">
        <v>114</v>
      </c>
      <c r="N53"/>
    </row>
    <row r="54" spans="1:14" x14ac:dyDescent="0.25">
      <c r="A54" s="15">
        <v>42872</v>
      </c>
      <c r="B54" t="s">
        <v>249</v>
      </c>
      <c r="C54" t="s">
        <v>250</v>
      </c>
      <c r="D54">
        <v>10281808</v>
      </c>
      <c r="E54" t="s">
        <v>77</v>
      </c>
      <c r="F54" t="s">
        <v>105</v>
      </c>
      <c r="G54" t="s">
        <v>102</v>
      </c>
      <c r="H54" t="s">
        <v>26</v>
      </c>
      <c r="I54" t="s">
        <v>88</v>
      </c>
      <c r="J54" s="15">
        <v>42872</v>
      </c>
      <c r="K54" s="15">
        <v>43056</v>
      </c>
      <c r="L54">
        <v>2200000000</v>
      </c>
      <c r="M54" t="s">
        <v>114</v>
      </c>
      <c r="N54"/>
    </row>
    <row r="55" spans="1:14" x14ac:dyDescent="0.25">
      <c r="A55" s="15">
        <v>42872</v>
      </c>
      <c r="B55" t="s">
        <v>251</v>
      </c>
      <c r="C55" t="s">
        <v>252</v>
      </c>
      <c r="D55">
        <v>10367206</v>
      </c>
      <c r="E55" t="s">
        <v>77</v>
      </c>
      <c r="F55" t="s">
        <v>105</v>
      </c>
      <c r="G55" t="s">
        <v>102</v>
      </c>
      <c r="H55" t="s">
        <v>26</v>
      </c>
      <c r="I55" t="s">
        <v>88</v>
      </c>
      <c r="J55" s="15">
        <v>42872</v>
      </c>
      <c r="K55" s="15">
        <v>43056</v>
      </c>
      <c r="L55">
        <v>200000000</v>
      </c>
      <c r="M55" t="s">
        <v>114</v>
      </c>
      <c r="N55"/>
    </row>
    <row r="56" spans="1:14" x14ac:dyDescent="0.25">
      <c r="A56" s="15">
        <v>42872</v>
      </c>
      <c r="B56" t="s">
        <v>253</v>
      </c>
      <c r="C56" t="s">
        <v>254</v>
      </c>
      <c r="D56">
        <v>10332864</v>
      </c>
      <c r="E56" t="s">
        <v>77</v>
      </c>
      <c r="F56" t="s">
        <v>105</v>
      </c>
      <c r="G56" t="s">
        <v>102</v>
      </c>
      <c r="H56" t="s">
        <v>5</v>
      </c>
      <c r="I56" t="s">
        <v>140</v>
      </c>
      <c r="J56" s="15">
        <v>42872</v>
      </c>
      <c r="K56" s="15">
        <v>43269</v>
      </c>
      <c r="L56">
        <v>1750000000</v>
      </c>
      <c r="M56" t="s">
        <v>114</v>
      </c>
      <c r="N56"/>
    </row>
    <row r="57" spans="1:14" x14ac:dyDescent="0.25">
      <c r="A57" s="15">
        <v>42872</v>
      </c>
      <c r="B57" t="s">
        <v>255</v>
      </c>
      <c r="C57" t="s">
        <v>256</v>
      </c>
      <c r="D57">
        <v>10402445</v>
      </c>
      <c r="E57" t="s">
        <v>77</v>
      </c>
      <c r="F57" t="s">
        <v>105</v>
      </c>
      <c r="G57" t="s">
        <v>102</v>
      </c>
      <c r="H57" t="s">
        <v>26</v>
      </c>
      <c r="I57" t="s">
        <v>88</v>
      </c>
      <c r="J57" s="15">
        <v>42872</v>
      </c>
      <c r="K57" s="15">
        <v>43056</v>
      </c>
      <c r="L57">
        <v>500000000</v>
      </c>
      <c r="M57" t="s">
        <v>114</v>
      </c>
      <c r="N57"/>
    </row>
    <row r="58" spans="1:14" x14ac:dyDescent="0.25">
      <c r="A58" s="15">
        <v>42872</v>
      </c>
      <c r="B58" t="s">
        <v>257</v>
      </c>
      <c r="C58" t="s">
        <v>165</v>
      </c>
      <c r="D58">
        <v>10334023</v>
      </c>
      <c r="E58" t="s">
        <v>77</v>
      </c>
      <c r="F58" t="s">
        <v>105</v>
      </c>
      <c r="G58" t="s">
        <v>102</v>
      </c>
      <c r="H58" t="s">
        <v>15</v>
      </c>
      <c r="I58" t="s">
        <v>124</v>
      </c>
      <c r="J58" s="15">
        <v>42872</v>
      </c>
      <c r="K58" s="15">
        <v>43056</v>
      </c>
      <c r="L58">
        <v>500000000</v>
      </c>
      <c r="M58" t="s">
        <v>114</v>
      </c>
      <c r="N58"/>
    </row>
    <row r="59" spans="1:14" x14ac:dyDescent="0.25">
      <c r="A59" s="15">
        <v>42872</v>
      </c>
      <c r="B59" t="s">
        <v>258</v>
      </c>
      <c r="C59" t="s">
        <v>259</v>
      </c>
      <c r="D59">
        <v>10290517</v>
      </c>
      <c r="E59" t="s">
        <v>77</v>
      </c>
      <c r="F59" t="s">
        <v>103</v>
      </c>
      <c r="G59" t="s">
        <v>102</v>
      </c>
      <c r="H59" t="s">
        <v>1</v>
      </c>
      <c r="I59" t="s">
        <v>83</v>
      </c>
      <c r="J59" s="15">
        <v>42872</v>
      </c>
      <c r="K59" s="15"/>
      <c r="L59">
        <v>172000000</v>
      </c>
      <c r="M59" t="s">
        <v>114</v>
      </c>
      <c r="N59"/>
    </row>
    <row r="60" spans="1:14" x14ac:dyDescent="0.25">
      <c r="A60" s="15">
        <v>42872</v>
      </c>
      <c r="B60" t="s">
        <v>260</v>
      </c>
      <c r="C60" t="s">
        <v>261</v>
      </c>
      <c r="D60">
        <v>10402351</v>
      </c>
      <c r="E60" t="s">
        <v>77</v>
      </c>
      <c r="F60" t="s">
        <v>103</v>
      </c>
      <c r="G60" t="s">
        <v>102</v>
      </c>
      <c r="H60" t="s">
        <v>21</v>
      </c>
      <c r="I60" t="s">
        <v>110</v>
      </c>
      <c r="J60" s="15">
        <v>42872</v>
      </c>
      <c r="K60" s="15"/>
      <c r="L60">
        <v>2330000000</v>
      </c>
      <c r="M60" t="s">
        <v>114</v>
      </c>
      <c r="N60"/>
    </row>
    <row r="61" spans="1:14" x14ac:dyDescent="0.25">
      <c r="A61" s="15">
        <v>42872</v>
      </c>
      <c r="B61" t="s">
        <v>262</v>
      </c>
      <c r="C61" t="s">
        <v>263</v>
      </c>
      <c r="D61">
        <v>10176921</v>
      </c>
      <c r="E61" t="s">
        <v>77</v>
      </c>
      <c r="F61" t="s">
        <v>105</v>
      </c>
      <c r="G61" t="s">
        <v>102</v>
      </c>
      <c r="H61" t="s">
        <v>1</v>
      </c>
      <c r="I61" t="s">
        <v>83</v>
      </c>
      <c r="J61" s="15">
        <v>42872</v>
      </c>
      <c r="K61" s="15">
        <v>43056</v>
      </c>
      <c r="L61">
        <v>30000000</v>
      </c>
      <c r="M61" t="s">
        <v>114</v>
      </c>
      <c r="N61"/>
    </row>
    <row r="62" spans="1:14" x14ac:dyDescent="0.25">
      <c r="A62" s="15">
        <v>42872</v>
      </c>
      <c r="B62" t="s">
        <v>264</v>
      </c>
      <c r="C62" t="s">
        <v>163</v>
      </c>
      <c r="D62">
        <v>10229701</v>
      </c>
      <c r="E62" t="s">
        <v>77</v>
      </c>
      <c r="F62" t="s">
        <v>105</v>
      </c>
      <c r="G62" t="s">
        <v>102</v>
      </c>
      <c r="H62" t="s">
        <v>4</v>
      </c>
      <c r="I62" t="s">
        <v>91</v>
      </c>
      <c r="J62" s="15">
        <v>42872</v>
      </c>
      <c r="K62" s="15">
        <v>43056</v>
      </c>
      <c r="L62">
        <v>5000000000</v>
      </c>
      <c r="M62" t="s">
        <v>114</v>
      </c>
      <c r="N62"/>
    </row>
    <row r="63" spans="1:14" x14ac:dyDescent="0.25">
      <c r="A63" s="15">
        <v>42872</v>
      </c>
      <c r="B63" t="s">
        <v>265</v>
      </c>
      <c r="C63" t="s">
        <v>266</v>
      </c>
      <c r="D63">
        <v>10155799</v>
      </c>
      <c r="E63" t="s">
        <v>77</v>
      </c>
      <c r="F63" t="s">
        <v>105</v>
      </c>
      <c r="G63" t="s">
        <v>102</v>
      </c>
      <c r="H63" t="s">
        <v>23</v>
      </c>
      <c r="I63" t="s">
        <v>87</v>
      </c>
      <c r="J63" s="15">
        <v>42872</v>
      </c>
      <c r="K63" s="15">
        <v>43269</v>
      </c>
      <c r="L63">
        <v>223000000</v>
      </c>
      <c r="M63" t="s">
        <v>114</v>
      </c>
      <c r="N63"/>
    </row>
    <row r="64" spans="1:14" x14ac:dyDescent="0.25">
      <c r="A64" s="15">
        <v>42872</v>
      </c>
      <c r="B64" t="s">
        <v>267</v>
      </c>
      <c r="C64" t="s">
        <v>268</v>
      </c>
      <c r="D64">
        <v>10312491</v>
      </c>
      <c r="E64" t="s">
        <v>77</v>
      </c>
      <c r="F64" t="s">
        <v>105</v>
      </c>
      <c r="G64" t="s">
        <v>102</v>
      </c>
      <c r="H64" t="s">
        <v>14</v>
      </c>
      <c r="I64" t="s">
        <v>81</v>
      </c>
      <c r="J64" s="15">
        <v>42872</v>
      </c>
      <c r="K64" s="15">
        <v>43056</v>
      </c>
      <c r="L64">
        <v>500000000</v>
      </c>
      <c r="M64" t="s">
        <v>114</v>
      </c>
      <c r="N64"/>
    </row>
    <row r="65" spans="1:14" x14ac:dyDescent="0.25">
      <c r="A65" s="15">
        <v>42872</v>
      </c>
      <c r="C65" t="s">
        <v>269</v>
      </c>
      <c r="D65">
        <v>10022897</v>
      </c>
      <c r="E65" t="s">
        <v>77</v>
      </c>
      <c r="F65" t="s">
        <v>101</v>
      </c>
      <c r="G65" t="s">
        <v>102</v>
      </c>
      <c r="H65" t="s">
        <v>15</v>
      </c>
      <c r="I65" t="s">
        <v>124</v>
      </c>
      <c r="J65" s="15">
        <v>42872</v>
      </c>
      <c r="K65" s="15"/>
      <c r="L65">
        <v>35000000</v>
      </c>
      <c r="M65" t="s">
        <v>114</v>
      </c>
      <c r="N65"/>
    </row>
    <row r="66" spans="1:14" x14ac:dyDescent="0.25">
      <c r="A66" s="15">
        <v>42872</v>
      </c>
      <c r="B66" t="s">
        <v>270</v>
      </c>
      <c r="C66" t="s">
        <v>271</v>
      </c>
      <c r="D66">
        <v>10364896</v>
      </c>
      <c r="E66" t="s">
        <v>77</v>
      </c>
      <c r="F66" t="s">
        <v>103</v>
      </c>
      <c r="G66" t="s">
        <v>102</v>
      </c>
      <c r="H66" t="s">
        <v>17</v>
      </c>
      <c r="I66" t="s">
        <v>123</v>
      </c>
      <c r="J66" s="15">
        <v>42872</v>
      </c>
      <c r="K66" s="15"/>
      <c r="L66">
        <v>50000000</v>
      </c>
      <c r="M66" t="s">
        <v>114</v>
      </c>
      <c r="N66"/>
    </row>
    <row r="67" spans="1:14" x14ac:dyDescent="0.25">
      <c r="A67" s="15">
        <v>42872</v>
      </c>
      <c r="B67" t="s">
        <v>272</v>
      </c>
      <c r="C67" t="s">
        <v>273</v>
      </c>
      <c r="D67">
        <v>10076886</v>
      </c>
      <c r="E67" t="s">
        <v>146</v>
      </c>
      <c r="F67" t="s">
        <v>103</v>
      </c>
      <c r="G67" t="s">
        <v>102</v>
      </c>
      <c r="H67" t="s">
        <v>3</v>
      </c>
      <c r="I67" t="s">
        <v>80</v>
      </c>
      <c r="J67" s="15">
        <v>42872</v>
      </c>
      <c r="K67" s="15"/>
      <c r="L67">
        <v>45340000</v>
      </c>
      <c r="M67" t="s">
        <v>114</v>
      </c>
      <c r="N67"/>
    </row>
    <row r="68" spans="1:14" x14ac:dyDescent="0.25">
      <c r="A68" s="15">
        <v>42872</v>
      </c>
      <c r="B68" t="s">
        <v>274</v>
      </c>
      <c r="C68" t="s">
        <v>275</v>
      </c>
      <c r="D68">
        <v>10377398</v>
      </c>
      <c r="E68" t="s">
        <v>77</v>
      </c>
      <c r="F68" t="s">
        <v>104</v>
      </c>
      <c r="G68" t="s">
        <v>102</v>
      </c>
      <c r="H68" t="s">
        <v>26</v>
      </c>
      <c r="I68" t="s">
        <v>88</v>
      </c>
      <c r="J68" s="15">
        <v>42872</v>
      </c>
      <c r="K68" s="15"/>
      <c r="L68">
        <v>850000000</v>
      </c>
      <c r="M68" t="s">
        <v>114</v>
      </c>
      <c r="N68"/>
    </row>
    <row r="69" spans="1:14" x14ac:dyDescent="0.25">
      <c r="A69" s="15">
        <v>42872</v>
      </c>
      <c r="B69" t="s">
        <v>276</v>
      </c>
      <c r="C69" t="s">
        <v>277</v>
      </c>
      <c r="D69">
        <v>10218453</v>
      </c>
      <c r="E69" t="s">
        <v>77</v>
      </c>
      <c r="F69" t="s">
        <v>103</v>
      </c>
      <c r="G69" t="s">
        <v>102</v>
      </c>
      <c r="H69" t="s">
        <v>1</v>
      </c>
      <c r="I69" t="s">
        <v>83</v>
      </c>
      <c r="J69" s="15">
        <v>42872</v>
      </c>
      <c r="K69" s="15"/>
      <c r="L69">
        <v>1700000000</v>
      </c>
      <c r="M69" t="s">
        <v>115</v>
      </c>
      <c r="N69"/>
    </row>
    <row r="70" spans="1:14" x14ac:dyDescent="0.25">
      <c r="A70" s="15">
        <v>42872</v>
      </c>
      <c r="B70" t="s">
        <v>278</v>
      </c>
      <c r="C70" t="s">
        <v>279</v>
      </c>
      <c r="D70">
        <v>10290517</v>
      </c>
      <c r="E70" t="s">
        <v>77</v>
      </c>
      <c r="F70" t="s">
        <v>103</v>
      </c>
      <c r="G70" t="s">
        <v>102</v>
      </c>
      <c r="H70" t="s">
        <v>1</v>
      </c>
      <c r="I70" t="s">
        <v>83</v>
      </c>
      <c r="J70" s="15">
        <v>42872</v>
      </c>
      <c r="K70" s="15"/>
      <c r="L70">
        <v>50000000</v>
      </c>
      <c r="M70" t="s">
        <v>114</v>
      </c>
      <c r="N70"/>
    </row>
    <row r="71" spans="1:14" x14ac:dyDescent="0.25">
      <c r="A71" s="15">
        <v>42872</v>
      </c>
      <c r="B71" t="s">
        <v>280</v>
      </c>
      <c r="C71" t="s">
        <v>163</v>
      </c>
      <c r="D71">
        <v>10229701</v>
      </c>
      <c r="E71" t="s">
        <v>77</v>
      </c>
      <c r="F71" t="s">
        <v>105</v>
      </c>
      <c r="G71" t="s">
        <v>102</v>
      </c>
      <c r="H71" t="s">
        <v>4</v>
      </c>
      <c r="I71" t="s">
        <v>91</v>
      </c>
      <c r="J71" s="15">
        <v>42872</v>
      </c>
      <c r="K71" s="15">
        <v>43056</v>
      </c>
      <c r="L71">
        <v>5000000000</v>
      </c>
      <c r="M71" t="s">
        <v>114</v>
      </c>
      <c r="N71"/>
    </row>
    <row r="72" spans="1:14" x14ac:dyDescent="0.25">
      <c r="A72" s="15">
        <v>42872</v>
      </c>
      <c r="B72" t="s">
        <v>281</v>
      </c>
      <c r="C72" t="s">
        <v>282</v>
      </c>
      <c r="D72">
        <v>10195557</v>
      </c>
      <c r="E72" t="s">
        <v>77</v>
      </c>
      <c r="F72" t="s">
        <v>103</v>
      </c>
      <c r="G72" t="s">
        <v>102</v>
      </c>
      <c r="H72" t="s">
        <v>17</v>
      </c>
      <c r="I72" t="s">
        <v>123</v>
      </c>
      <c r="J72" s="15">
        <v>42872</v>
      </c>
      <c r="K72" s="15"/>
      <c r="L72">
        <v>100000000</v>
      </c>
      <c r="M72" t="s">
        <v>114</v>
      </c>
      <c r="N72"/>
    </row>
    <row r="73" spans="1:14" x14ac:dyDescent="0.25">
      <c r="A73" s="15">
        <v>42872</v>
      </c>
      <c r="B73" t="s">
        <v>283</v>
      </c>
      <c r="C73" t="s">
        <v>284</v>
      </c>
      <c r="D73">
        <v>10262410</v>
      </c>
      <c r="E73" t="s">
        <v>77</v>
      </c>
      <c r="F73" t="s">
        <v>103</v>
      </c>
      <c r="G73" t="s">
        <v>102</v>
      </c>
      <c r="H73" t="s">
        <v>5</v>
      </c>
      <c r="I73" t="s">
        <v>140</v>
      </c>
      <c r="J73" s="15">
        <v>42872</v>
      </c>
      <c r="K73" s="15"/>
      <c r="L73">
        <v>50000000</v>
      </c>
      <c r="M73" t="s">
        <v>114</v>
      </c>
      <c r="N73"/>
    </row>
    <row r="74" spans="1:14" x14ac:dyDescent="0.25">
      <c r="A74" s="15">
        <v>42872</v>
      </c>
      <c r="B74" t="s">
        <v>285</v>
      </c>
      <c r="C74" t="s">
        <v>286</v>
      </c>
      <c r="D74">
        <v>10336129</v>
      </c>
      <c r="E74" t="s">
        <v>77</v>
      </c>
      <c r="F74" t="s">
        <v>103</v>
      </c>
      <c r="G74" t="s">
        <v>102</v>
      </c>
      <c r="H74" t="s">
        <v>5</v>
      </c>
      <c r="I74" t="s">
        <v>140</v>
      </c>
      <c r="J74" s="15">
        <v>42872</v>
      </c>
      <c r="K74" s="15"/>
      <c r="L74">
        <v>50000000</v>
      </c>
      <c r="M74" t="s">
        <v>114</v>
      </c>
      <c r="N74"/>
    </row>
    <row r="75" spans="1:14" x14ac:dyDescent="0.25">
      <c r="A75" s="15">
        <v>42872</v>
      </c>
      <c r="B75" t="s">
        <v>287</v>
      </c>
      <c r="C75" t="s">
        <v>288</v>
      </c>
      <c r="D75">
        <v>10214863</v>
      </c>
      <c r="E75" t="s">
        <v>77</v>
      </c>
      <c r="F75" t="s">
        <v>103</v>
      </c>
      <c r="G75" t="s">
        <v>102</v>
      </c>
      <c r="H75" t="s">
        <v>7</v>
      </c>
      <c r="I75" t="s">
        <v>118</v>
      </c>
      <c r="J75" s="15">
        <v>42872</v>
      </c>
      <c r="K75" s="15"/>
      <c r="L75">
        <v>110000000</v>
      </c>
      <c r="M75" t="s">
        <v>114</v>
      </c>
      <c r="N75"/>
    </row>
    <row r="76" spans="1:14" x14ac:dyDescent="0.25">
      <c r="A76" s="15">
        <v>42872</v>
      </c>
      <c r="B76" t="s">
        <v>289</v>
      </c>
      <c r="C76" t="s">
        <v>290</v>
      </c>
      <c r="D76">
        <v>10235027</v>
      </c>
      <c r="E76" t="s">
        <v>77</v>
      </c>
      <c r="F76" t="s">
        <v>103</v>
      </c>
      <c r="G76" t="s">
        <v>102</v>
      </c>
      <c r="H76" t="s">
        <v>5</v>
      </c>
      <c r="I76" t="s">
        <v>140</v>
      </c>
      <c r="J76" s="15">
        <v>42872</v>
      </c>
      <c r="K76" s="15"/>
      <c r="L76">
        <v>5000000000</v>
      </c>
      <c r="M76" t="s">
        <v>115</v>
      </c>
      <c r="N76"/>
    </row>
    <row r="77" spans="1:14" x14ac:dyDescent="0.25">
      <c r="A77" s="15">
        <v>42872</v>
      </c>
      <c r="B77" t="s">
        <v>291</v>
      </c>
      <c r="C77" t="s">
        <v>292</v>
      </c>
      <c r="D77">
        <v>10336132</v>
      </c>
      <c r="E77" t="s">
        <v>77</v>
      </c>
      <c r="F77" t="s">
        <v>104</v>
      </c>
      <c r="G77" t="s">
        <v>102</v>
      </c>
      <c r="H77" t="s">
        <v>1</v>
      </c>
      <c r="I77" t="s">
        <v>83</v>
      </c>
      <c r="J77" s="15">
        <v>42872</v>
      </c>
      <c r="K77" s="15"/>
      <c r="L77">
        <v>100000000</v>
      </c>
      <c r="M77" t="s">
        <v>114</v>
      </c>
      <c r="N77"/>
    </row>
    <row r="78" spans="1:14" x14ac:dyDescent="0.25">
      <c r="A78" s="15">
        <v>42872</v>
      </c>
      <c r="B78" t="s">
        <v>293</v>
      </c>
      <c r="C78" t="s">
        <v>294</v>
      </c>
      <c r="D78">
        <v>10054555</v>
      </c>
      <c r="E78" t="s">
        <v>77</v>
      </c>
      <c r="F78" t="s">
        <v>103</v>
      </c>
      <c r="G78" t="s">
        <v>102</v>
      </c>
      <c r="H78" t="s">
        <v>2</v>
      </c>
      <c r="I78" t="s">
        <v>78</v>
      </c>
      <c r="J78" s="15">
        <v>42872</v>
      </c>
      <c r="K78" s="15"/>
      <c r="L78">
        <v>387000000</v>
      </c>
      <c r="M78" t="s">
        <v>114</v>
      </c>
      <c r="N78"/>
    </row>
    <row r="79" spans="1:14" x14ac:dyDescent="0.25">
      <c r="A79" s="15">
        <v>42872</v>
      </c>
      <c r="B79" t="s">
        <v>295</v>
      </c>
      <c r="C79" t="s">
        <v>174</v>
      </c>
      <c r="D79">
        <v>10295926</v>
      </c>
      <c r="E79" t="s">
        <v>77</v>
      </c>
      <c r="F79" t="s">
        <v>105</v>
      </c>
      <c r="G79" t="s">
        <v>102</v>
      </c>
      <c r="H79" t="s">
        <v>4</v>
      </c>
      <c r="I79" t="s">
        <v>91</v>
      </c>
      <c r="J79" s="15">
        <v>42872</v>
      </c>
      <c r="K79" s="15">
        <v>43056</v>
      </c>
      <c r="L79">
        <v>5000000000</v>
      </c>
      <c r="M79" t="s">
        <v>114</v>
      </c>
      <c r="N79"/>
    </row>
    <row r="80" spans="1:14" x14ac:dyDescent="0.25">
      <c r="A80" s="15">
        <v>42872</v>
      </c>
      <c r="B80" t="s">
        <v>296</v>
      </c>
      <c r="C80" t="s">
        <v>297</v>
      </c>
      <c r="D80">
        <v>10376029</v>
      </c>
      <c r="E80" t="s">
        <v>77</v>
      </c>
      <c r="F80" t="s">
        <v>103</v>
      </c>
      <c r="G80" t="s">
        <v>102</v>
      </c>
      <c r="H80" t="s">
        <v>26</v>
      </c>
      <c r="I80" t="s">
        <v>88</v>
      </c>
      <c r="J80" s="15">
        <v>42872</v>
      </c>
      <c r="K80" s="15"/>
      <c r="L80">
        <v>70000000</v>
      </c>
      <c r="M80" t="s">
        <v>114</v>
      </c>
      <c r="N80"/>
    </row>
    <row r="81" spans="1:14" x14ac:dyDescent="0.25">
      <c r="A81" s="15">
        <v>42872</v>
      </c>
      <c r="B81" t="s">
        <v>298</v>
      </c>
      <c r="C81" t="s">
        <v>299</v>
      </c>
      <c r="D81">
        <v>10153262</v>
      </c>
      <c r="E81" t="s">
        <v>146</v>
      </c>
      <c r="F81" t="s">
        <v>103</v>
      </c>
      <c r="G81" t="s">
        <v>102</v>
      </c>
      <c r="H81" t="s">
        <v>4</v>
      </c>
      <c r="I81" t="s">
        <v>91</v>
      </c>
      <c r="J81" s="15">
        <v>42872</v>
      </c>
      <c r="K81" s="15"/>
      <c r="L81">
        <v>35138500</v>
      </c>
      <c r="M81" t="s">
        <v>114</v>
      </c>
      <c r="N81"/>
    </row>
    <row r="82" spans="1:14" x14ac:dyDescent="0.25">
      <c r="A82" s="15">
        <v>42872</v>
      </c>
      <c r="B82" t="s">
        <v>300</v>
      </c>
      <c r="C82" t="s">
        <v>301</v>
      </c>
      <c r="D82">
        <v>10104777</v>
      </c>
      <c r="E82" t="s">
        <v>77</v>
      </c>
      <c r="F82" t="s">
        <v>103</v>
      </c>
      <c r="G82" t="s">
        <v>102</v>
      </c>
      <c r="H82" t="s">
        <v>20</v>
      </c>
      <c r="I82" t="s">
        <v>79</v>
      </c>
      <c r="J82" s="15">
        <v>42872</v>
      </c>
      <c r="K82" s="15"/>
      <c r="L82">
        <v>250000000</v>
      </c>
      <c r="M82" t="s">
        <v>114</v>
      </c>
      <c r="N82"/>
    </row>
    <row r="83" spans="1:14" x14ac:dyDescent="0.25">
      <c r="A83" s="15">
        <v>42872</v>
      </c>
      <c r="B83" t="s">
        <v>302</v>
      </c>
      <c r="C83" t="s">
        <v>303</v>
      </c>
      <c r="D83">
        <v>10108732</v>
      </c>
      <c r="E83" t="s">
        <v>77</v>
      </c>
      <c r="F83" t="s">
        <v>105</v>
      </c>
      <c r="G83" t="s">
        <v>102</v>
      </c>
      <c r="H83" t="s">
        <v>19</v>
      </c>
      <c r="I83" t="s">
        <v>84</v>
      </c>
      <c r="J83" s="15">
        <v>42872</v>
      </c>
      <c r="K83" s="15">
        <v>43269</v>
      </c>
      <c r="L83">
        <v>200000000</v>
      </c>
      <c r="M83" t="s">
        <v>114</v>
      </c>
      <c r="N83"/>
    </row>
    <row r="84" spans="1:14" x14ac:dyDescent="0.25">
      <c r="A84" s="15">
        <v>42872</v>
      </c>
      <c r="B84" t="s">
        <v>304</v>
      </c>
      <c r="C84" t="s">
        <v>210</v>
      </c>
      <c r="D84">
        <v>10375929</v>
      </c>
      <c r="E84" t="s">
        <v>77</v>
      </c>
      <c r="F84" t="s">
        <v>105</v>
      </c>
      <c r="G84" t="s">
        <v>102</v>
      </c>
      <c r="H84" t="s">
        <v>2</v>
      </c>
      <c r="I84" t="s">
        <v>78</v>
      </c>
      <c r="J84" s="15">
        <v>42872</v>
      </c>
      <c r="K84" s="15">
        <v>43056</v>
      </c>
      <c r="L84">
        <v>500000000</v>
      </c>
      <c r="M84" t="s">
        <v>114</v>
      </c>
      <c r="N84"/>
    </row>
    <row r="85" spans="1:14" x14ac:dyDescent="0.25">
      <c r="A85" s="15">
        <v>42872</v>
      </c>
      <c r="B85" t="s">
        <v>305</v>
      </c>
      <c r="C85" t="s">
        <v>306</v>
      </c>
      <c r="D85">
        <v>10402396</v>
      </c>
      <c r="E85" t="s">
        <v>77</v>
      </c>
      <c r="F85" t="s">
        <v>103</v>
      </c>
      <c r="G85" t="s">
        <v>102</v>
      </c>
      <c r="H85" t="s">
        <v>7</v>
      </c>
      <c r="I85" t="s">
        <v>118</v>
      </c>
      <c r="J85" s="15">
        <v>42872</v>
      </c>
      <c r="K85" s="15"/>
      <c r="L85">
        <v>260000000</v>
      </c>
      <c r="M85" t="s">
        <v>114</v>
      </c>
      <c r="N85"/>
    </row>
    <row r="86" spans="1:14" x14ac:dyDescent="0.25">
      <c r="A86" s="15">
        <v>42872</v>
      </c>
      <c r="B86" t="s">
        <v>307</v>
      </c>
      <c r="C86" t="s">
        <v>308</v>
      </c>
      <c r="D86">
        <v>10252778</v>
      </c>
      <c r="E86" t="s">
        <v>77</v>
      </c>
      <c r="F86" t="s">
        <v>103</v>
      </c>
      <c r="G86" t="s">
        <v>102</v>
      </c>
      <c r="H86" t="s">
        <v>29</v>
      </c>
      <c r="I86" t="s">
        <v>119</v>
      </c>
      <c r="J86" s="15">
        <v>42872</v>
      </c>
      <c r="K86" s="15"/>
      <c r="L86">
        <v>50000000</v>
      </c>
      <c r="M86" t="s">
        <v>114</v>
      </c>
      <c r="N86"/>
    </row>
    <row r="87" spans="1:14" x14ac:dyDescent="0.25">
      <c r="A87" s="15">
        <v>42872</v>
      </c>
      <c r="B87" t="s">
        <v>309</v>
      </c>
      <c r="C87" t="s">
        <v>163</v>
      </c>
      <c r="D87">
        <v>10229701</v>
      </c>
      <c r="E87" t="s">
        <v>77</v>
      </c>
      <c r="F87" t="s">
        <v>105</v>
      </c>
      <c r="G87" t="s">
        <v>102</v>
      </c>
      <c r="H87" t="s">
        <v>4</v>
      </c>
      <c r="I87" t="s">
        <v>91</v>
      </c>
      <c r="J87" s="15">
        <v>42872</v>
      </c>
      <c r="K87" s="15">
        <v>43056</v>
      </c>
      <c r="L87">
        <v>5000000000</v>
      </c>
      <c r="M87" t="s">
        <v>114</v>
      </c>
      <c r="N87"/>
    </row>
    <row r="88" spans="1:14" x14ac:dyDescent="0.25">
      <c r="A88" s="15">
        <v>42872</v>
      </c>
      <c r="B88" t="s">
        <v>310</v>
      </c>
      <c r="C88" t="s">
        <v>311</v>
      </c>
      <c r="D88">
        <v>10399511</v>
      </c>
      <c r="E88" t="s">
        <v>77</v>
      </c>
      <c r="F88" t="s">
        <v>105</v>
      </c>
      <c r="G88" t="s">
        <v>102</v>
      </c>
      <c r="H88" t="s">
        <v>29</v>
      </c>
      <c r="I88" t="s">
        <v>119</v>
      </c>
      <c r="J88" s="15">
        <v>42872</v>
      </c>
      <c r="K88" s="15">
        <v>43269</v>
      </c>
      <c r="L88">
        <v>500000000</v>
      </c>
      <c r="M88" t="s">
        <v>114</v>
      </c>
      <c r="N88"/>
    </row>
    <row r="89" spans="1:14" x14ac:dyDescent="0.25">
      <c r="A89" s="15">
        <v>42872</v>
      </c>
      <c r="B89" t="s">
        <v>312</v>
      </c>
      <c r="C89" t="s">
        <v>313</v>
      </c>
      <c r="D89">
        <v>10334827</v>
      </c>
      <c r="E89" t="s">
        <v>77</v>
      </c>
      <c r="F89" t="s">
        <v>105</v>
      </c>
      <c r="G89" t="s">
        <v>102</v>
      </c>
      <c r="H89" t="s">
        <v>28</v>
      </c>
      <c r="I89" t="s">
        <v>86</v>
      </c>
      <c r="J89" s="15">
        <v>42872</v>
      </c>
      <c r="K89" s="15">
        <v>43056</v>
      </c>
      <c r="L89">
        <v>4390280000</v>
      </c>
      <c r="M89" t="s">
        <v>114</v>
      </c>
      <c r="N89"/>
    </row>
    <row r="90" spans="1:14" x14ac:dyDescent="0.25">
      <c r="A90" s="15">
        <v>42872</v>
      </c>
      <c r="B90" t="s">
        <v>314</v>
      </c>
      <c r="C90" t="s">
        <v>315</v>
      </c>
      <c r="D90">
        <v>10265776</v>
      </c>
      <c r="E90" t="s">
        <v>77</v>
      </c>
      <c r="F90" t="s">
        <v>105</v>
      </c>
      <c r="G90" t="s">
        <v>102</v>
      </c>
      <c r="H90" t="s">
        <v>11</v>
      </c>
      <c r="I90" t="s">
        <v>120</v>
      </c>
      <c r="J90" s="15">
        <v>42872</v>
      </c>
      <c r="K90" s="15">
        <v>43056</v>
      </c>
      <c r="L90">
        <v>230000000</v>
      </c>
      <c r="M90" t="s">
        <v>114</v>
      </c>
      <c r="N90"/>
    </row>
    <row r="91" spans="1:14" x14ac:dyDescent="0.25">
      <c r="A91" s="15">
        <v>42872</v>
      </c>
      <c r="B91" t="s">
        <v>316</v>
      </c>
      <c r="C91" t="s">
        <v>165</v>
      </c>
      <c r="D91">
        <v>10334023</v>
      </c>
      <c r="E91" t="s">
        <v>77</v>
      </c>
      <c r="F91" t="s">
        <v>105</v>
      </c>
      <c r="G91" t="s">
        <v>102</v>
      </c>
      <c r="H91" t="s">
        <v>15</v>
      </c>
      <c r="I91" t="s">
        <v>124</v>
      </c>
      <c r="J91" s="15">
        <v>42872</v>
      </c>
      <c r="K91" s="15">
        <v>43056</v>
      </c>
      <c r="L91">
        <v>500000000</v>
      </c>
      <c r="M91" t="s">
        <v>114</v>
      </c>
      <c r="N91"/>
    </row>
    <row r="92" spans="1:14" x14ac:dyDescent="0.25">
      <c r="A92" s="15">
        <v>42872</v>
      </c>
      <c r="C92" t="s">
        <v>317</v>
      </c>
      <c r="D92">
        <v>10317839</v>
      </c>
      <c r="E92" t="s">
        <v>77</v>
      </c>
      <c r="F92" t="s">
        <v>101</v>
      </c>
      <c r="G92" t="s">
        <v>102</v>
      </c>
      <c r="H92" t="s">
        <v>27</v>
      </c>
      <c r="I92" t="s">
        <v>82</v>
      </c>
      <c r="J92" s="15">
        <v>42872</v>
      </c>
      <c r="K92" s="15"/>
      <c r="L92">
        <v>30131129</v>
      </c>
      <c r="M92" t="s">
        <v>114</v>
      </c>
      <c r="N92"/>
    </row>
    <row r="93" spans="1:14" x14ac:dyDescent="0.25">
      <c r="A93" s="15">
        <v>42872</v>
      </c>
      <c r="B93" t="s">
        <v>318</v>
      </c>
      <c r="C93" t="s">
        <v>319</v>
      </c>
      <c r="D93">
        <v>10361487</v>
      </c>
      <c r="E93" t="s">
        <v>146</v>
      </c>
      <c r="F93" t="s">
        <v>103</v>
      </c>
      <c r="G93" t="s">
        <v>102</v>
      </c>
      <c r="H93" t="s">
        <v>23</v>
      </c>
      <c r="I93" t="s">
        <v>87</v>
      </c>
      <c r="J93" s="15">
        <v>42872</v>
      </c>
      <c r="K93" s="15"/>
      <c r="L93">
        <v>113350000</v>
      </c>
      <c r="M93" t="s">
        <v>114</v>
      </c>
      <c r="N93"/>
    </row>
    <row r="94" spans="1:14" x14ac:dyDescent="0.25">
      <c r="A94" s="15">
        <v>42872</v>
      </c>
      <c r="B94" t="s">
        <v>320</v>
      </c>
      <c r="C94" t="s">
        <v>321</v>
      </c>
      <c r="D94">
        <v>10375929</v>
      </c>
      <c r="E94" t="s">
        <v>77</v>
      </c>
      <c r="F94" t="s">
        <v>103</v>
      </c>
      <c r="G94" t="s">
        <v>102</v>
      </c>
      <c r="H94" t="s">
        <v>30</v>
      </c>
      <c r="I94" t="s">
        <v>0</v>
      </c>
      <c r="J94" s="15">
        <v>42872</v>
      </c>
      <c r="K94" s="15"/>
      <c r="L94">
        <v>18000000</v>
      </c>
      <c r="M94" t="s">
        <v>114</v>
      </c>
      <c r="N94"/>
    </row>
    <row r="95" spans="1:14" x14ac:dyDescent="0.25">
      <c r="A95" s="15">
        <v>42872</v>
      </c>
      <c r="B95" t="s">
        <v>322</v>
      </c>
      <c r="C95" t="s">
        <v>323</v>
      </c>
      <c r="D95">
        <v>10372243</v>
      </c>
      <c r="E95" t="s">
        <v>77</v>
      </c>
      <c r="F95" t="s">
        <v>103</v>
      </c>
      <c r="G95" t="s">
        <v>102</v>
      </c>
      <c r="H95" t="s">
        <v>26</v>
      </c>
      <c r="I95" t="s">
        <v>88</v>
      </c>
      <c r="J95" s="15">
        <v>42872</v>
      </c>
      <c r="K95" s="15"/>
      <c r="L95">
        <v>50000000</v>
      </c>
      <c r="M95" t="s">
        <v>114</v>
      </c>
      <c r="N95"/>
    </row>
    <row r="96" spans="1:14" x14ac:dyDescent="0.25">
      <c r="A96" s="15">
        <v>42872</v>
      </c>
      <c r="B96" t="s">
        <v>324</v>
      </c>
      <c r="C96" t="s">
        <v>325</v>
      </c>
      <c r="D96">
        <v>10402420</v>
      </c>
      <c r="E96" t="s">
        <v>77</v>
      </c>
      <c r="F96" t="s">
        <v>103</v>
      </c>
      <c r="G96" t="s">
        <v>102</v>
      </c>
      <c r="H96" t="s">
        <v>1</v>
      </c>
      <c r="I96" t="s">
        <v>83</v>
      </c>
      <c r="J96" s="15">
        <v>42872</v>
      </c>
      <c r="K96" s="15"/>
      <c r="L96">
        <v>58500000</v>
      </c>
      <c r="M96" t="s">
        <v>114</v>
      </c>
      <c r="N96"/>
    </row>
    <row r="97" spans="1:14" x14ac:dyDescent="0.25">
      <c r="A97" s="15">
        <v>42872</v>
      </c>
      <c r="B97" t="s">
        <v>326</v>
      </c>
      <c r="C97" t="s">
        <v>327</v>
      </c>
      <c r="D97">
        <v>10402584</v>
      </c>
      <c r="E97" t="s">
        <v>77</v>
      </c>
      <c r="F97" t="s">
        <v>103</v>
      </c>
      <c r="G97" t="s">
        <v>102</v>
      </c>
      <c r="H97" t="s">
        <v>26</v>
      </c>
      <c r="I97" t="s">
        <v>88</v>
      </c>
      <c r="J97" s="15">
        <v>42872</v>
      </c>
      <c r="K97" s="15"/>
      <c r="L97">
        <v>200000000</v>
      </c>
      <c r="M97" t="s">
        <v>114</v>
      </c>
      <c r="N97"/>
    </row>
    <row r="98" spans="1:14" x14ac:dyDescent="0.25">
      <c r="A98" s="15">
        <v>42872</v>
      </c>
      <c r="B98" t="s">
        <v>328</v>
      </c>
      <c r="C98" t="s">
        <v>329</v>
      </c>
      <c r="D98">
        <v>10167948</v>
      </c>
      <c r="E98" t="s">
        <v>77</v>
      </c>
      <c r="F98" t="s">
        <v>126</v>
      </c>
      <c r="G98" t="s">
        <v>102</v>
      </c>
      <c r="H98" t="s">
        <v>1</v>
      </c>
      <c r="I98" t="s">
        <v>83</v>
      </c>
      <c r="J98" s="15">
        <v>42872</v>
      </c>
      <c r="K98" s="15">
        <v>43056</v>
      </c>
      <c r="L98">
        <v>50000000</v>
      </c>
      <c r="M98" t="s">
        <v>114</v>
      </c>
      <c r="N98"/>
    </row>
    <row r="99" spans="1:14" x14ac:dyDescent="0.25">
      <c r="A99" s="15">
        <v>42872</v>
      </c>
      <c r="B99" t="s">
        <v>330</v>
      </c>
      <c r="C99" t="s">
        <v>331</v>
      </c>
      <c r="D99">
        <v>10094173</v>
      </c>
      <c r="E99" t="s">
        <v>77</v>
      </c>
      <c r="F99" t="s">
        <v>103</v>
      </c>
      <c r="G99" t="s">
        <v>102</v>
      </c>
      <c r="H99" t="s">
        <v>23</v>
      </c>
      <c r="I99" t="s">
        <v>87</v>
      </c>
      <c r="J99" s="15">
        <v>42872</v>
      </c>
      <c r="K99" s="15"/>
      <c r="L99">
        <v>40000000</v>
      </c>
      <c r="M99" t="s">
        <v>114</v>
      </c>
      <c r="N99"/>
    </row>
    <row r="100" spans="1:14" x14ac:dyDescent="0.25">
      <c r="A100" s="15">
        <v>42872</v>
      </c>
      <c r="B100" t="s">
        <v>332</v>
      </c>
      <c r="C100" t="s">
        <v>333</v>
      </c>
      <c r="D100">
        <v>10214756</v>
      </c>
      <c r="E100" t="s">
        <v>77</v>
      </c>
      <c r="F100" t="s">
        <v>105</v>
      </c>
      <c r="G100" t="s">
        <v>102</v>
      </c>
      <c r="H100" t="s">
        <v>11</v>
      </c>
      <c r="I100" t="s">
        <v>120</v>
      </c>
      <c r="J100" s="15">
        <v>42872</v>
      </c>
      <c r="K100" s="15">
        <v>43056</v>
      </c>
      <c r="L100">
        <v>50000000</v>
      </c>
      <c r="M100" t="s">
        <v>114</v>
      </c>
      <c r="N100"/>
    </row>
    <row r="101" spans="1:14" x14ac:dyDescent="0.25">
      <c r="A101" s="15">
        <v>42872</v>
      </c>
      <c r="B101" t="s">
        <v>334</v>
      </c>
      <c r="C101" t="s">
        <v>174</v>
      </c>
      <c r="D101">
        <v>10295926</v>
      </c>
      <c r="E101" t="s">
        <v>77</v>
      </c>
      <c r="F101" t="s">
        <v>105</v>
      </c>
      <c r="G101" t="s">
        <v>102</v>
      </c>
      <c r="H101" t="s">
        <v>4</v>
      </c>
      <c r="I101" t="s">
        <v>91</v>
      </c>
      <c r="J101" s="15">
        <v>42872</v>
      </c>
      <c r="K101" s="15">
        <v>43056</v>
      </c>
      <c r="L101">
        <v>3270000000</v>
      </c>
      <c r="M101" t="s">
        <v>114</v>
      </c>
      <c r="N101"/>
    </row>
    <row r="102" spans="1:14" x14ac:dyDescent="0.25">
      <c r="A102" s="15">
        <v>42872</v>
      </c>
      <c r="B102" t="s">
        <v>335</v>
      </c>
      <c r="C102" t="s">
        <v>336</v>
      </c>
      <c r="D102">
        <v>10333847</v>
      </c>
      <c r="E102" t="s">
        <v>77</v>
      </c>
      <c r="F102" t="s">
        <v>105</v>
      </c>
      <c r="G102" t="s">
        <v>102</v>
      </c>
      <c r="H102" t="s">
        <v>12</v>
      </c>
      <c r="I102" t="s">
        <v>108</v>
      </c>
      <c r="J102" s="15">
        <v>42872</v>
      </c>
      <c r="K102" s="15">
        <v>43056</v>
      </c>
      <c r="L102">
        <v>80000000</v>
      </c>
      <c r="M102" t="s">
        <v>114</v>
      </c>
      <c r="N102"/>
    </row>
    <row r="103" spans="1:14" x14ac:dyDescent="0.25">
      <c r="A103" s="15">
        <v>42872</v>
      </c>
      <c r="B103" t="s">
        <v>337</v>
      </c>
      <c r="C103" t="s">
        <v>338</v>
      </c>
      <c r="D103">
        <v>10344252</v>
      </c>
      <c r="E103" t="s">
        <v>77</v>
      </c>
      <c r="F103" t="s">
        <v>105</v>
      </c>
      <c r="G103" t="s">
        <v>102</v>
      </c>
      <c r="H103" t="s">
        <v>7</v>
      </c>
      <c r="I103" t="s">
        <v>118</v>
      </c>
      <c r="J103" s="15">
        <v>42872</v>
      </c>
      <c r="K103" s="15">
        <v>43056</v>
      </c>
      <c r="L103">
        <v>600000000</v>
      </c>
      <c r="M103" t="s">
        <v>114</v>
      </c>
      <c r="N103"/>
    </row>
    <row r="104" spans="1:14" x14ac:dyDescent="0.25">
      <c r="A104" s="15">
        <v>42872</v>
      </c>
      <c r="B104" t="s">
        <v>339</v>
      </c>
      <c r="C104" t="s">
        <v>340</v>
      </c>
      <c r="D104">
        <v>10211059</v>
      </c>
      <c r="E104" t="s">
        <v>77</v>
      </c>
      <c r="F104" t="s">
        <v>103</v>
      </c>
      <c r="G104" t="s">
        <v>102</v>
      </c>
      <c r="H104" t="s">
        <v>20</v>
      </c>
      <c r="I104" t="s">
        <v>79</v>
      </c>
      <c r="J104" s="15">
        <v>42872</v>
      </c>
      <c r="K104" s="15"/>
      <c r="L104">
        <v>20000000</v>
      </c>
      <c r="M104" t="s">
        <v>114</v>
      </c>
      <c r="N104"/>
    </row>
    <row r="105" spans="1:14" x14ac:dyDescent="0.25">
      <c r="A105" s="15">
        <v>42872</v>
      </c>
      <c r="B105" t="s">
        <v>341</v>
      </c>
      <c r="C105" t="s">
        <v>342</v>
      </c>
      <c r="D105">
        <v>10303428</v>
      </c>
      <c r="E105" t="s">
        <v>77</v>
      </c>
      <c r="F105" t="s">
        <v>103</v>
      </c>
      <c r="G105" t="s">
        <v>102</v>
      </c>
      <c r="H105" t="s">
        <v>1</v>
      </c>
      <c r="I105" t="s">
        <v>83</v>
      </c>
      <c r="J105" s="15">
        <v>42872</v>
      </c>
      <c r="K105" s="15"/>
      <c r="L105">
        <v>2000000</v>
      </c>
      <c r="M105" t="s">
        <v>114</v>
      </c>
      <c r="N105"/>
    </row>
    <row r="106" spans="1:14" x14ac:dyDescent="0.25">
      <c r="A106" s="15">
        <v>42872</v>
      </c>
      <c r="B106" t="s">
        <v>343</v>
      </c>
      <c r="C106" t="s">
        <v>344</v>
      </c>
      <c r="D106">
        <v>10399511</v>
      </c>
      <c r="E106" t="s">
        <v>77</v>
      </c>
      <c r="F106" t="s">
        <v>103</v>
      </c>
      <c r="G106" t="s">
        <v>102</v>
      </c>
      <c r="H106" t="s">
        <v>29</v>
      </c>
      <c r="I106" t="s">
        <v>119</v>
      </c>
      <c r="J106" s="15">
        <v>42872</v>
      </c>
      <c r="K106" s="15"/>
      <c r="L106">
        <v>150000000</v>
      </c>
      <c r="M106" t="s">
        <v>114</v>
      </c>
      <c r="N106"/>
    </row>
    <row r="107" spans="1:14" x14ac:dyDescent="0.25">
      <c r="A107" s="15">
        <v>42872</v>
      </c>
      <c r="B107" t="s">
        <v>345</v>
      </c>
      <c r="C107" t="s">
        <v>346</v>
      </c>
      <c r="D107">
        <v>10365016</v>
      </c>
      <c r="E107" t="s">
        <v>77</v>
      </c>
      <c r="F107" t="s">
        <v>103</v>
      </c>
      <c r="G107" t="s">
        <v>102</v>
      </c>
      <c r="H107" t="s">
        <v>1</v>
      </c>
      <c r="I107" t="s">
        <v>83</v>
      </c>
      <c r="J107" s="15">
        <v>42872</v>
      </c>
      <c r="K107" s="15"/>
      <c r="L107">
        <v>7000000000</v>
      </c>
      <c r="M107" t="s">
        <v>115</v>
      </c>
      <c r="N107"/>
    </row>
    <row r="108" spans="1:14" x14ac:dyDescent="0.25">
      <c r="A108" s="15">
        <v>42872</v>
      </c>
      <c r="B108" t="s">
        <v>347</v>
      </c>
      <c r="C108" t="s">
        <v>348</v>
      </c>
      <c r="D108">
        <v>10402472</v>
      </c>
      <c r="E108" t="s">
        <v>77</v>
      </c>
      <c r="F108" t="s">
        <v>103</v>
      </c>
      <c r="G108" t="s">
        <v>102</v>
      </c>
      <c r="H108" t="s">
        <v>14</v>
      </c>
      <c r="I108" t="s">
        <v>81</v>
      </c>
      <c r="J108" s="15">
        <v>42872</v>
      </c>
      <c r="K108" s="15"/>
      <c r="L108">
        <v>200000000</v>
      </c>
      <c r="M108" t="s">
        <v>114</v>
      </c>
      <c r="N108"/>
    </row>
    <row r="109" spans="1:14" x14ac:dyDescent="0.25">
      <c r="A109" s="15">
        <v>42872</v>
      </c>
      <c r="B109" t="s">
        <v>349</v>
      </c>
      <c r="C109" t="s">
        <v>163</v>
      </c>
      <c r="D109">
        <v>10229701</v>
      </c>
      <c r="E109" t="s">
        <v>77</v>
      </c>
      <c r="F109" t="s">
        <v>105</v>
      </c>
      <c r="G109" t="s">
        <v>102</v>
      </c>
      <c r="H109" t="s">
        <v>4</v>
      </c>
      <c r="I109" t="s">
        <v>91</v>
      </c>
      <c r="J109" s="15">
        <v>42872</v>
      </c>
      <c r="K109" s="15">
        <v>43056</v>
      </c>
      <c r="L109">
        <v>3000000000</v>
      </c>
      <c r="M109" t="s">
        <v>114</v>
      </c>
      <c r="N109"/>
    </row>
    <row r="110" spans="1:14" x14ac:dyDescent="0.25">
      <c r="A110" s="15">
        <v>42872</v>
      </c>
      <c r="B110" t="s">
        <v>350</v>
      </c>
      <c r="C110" t="s">
        <v>163</v>
      </c>
      <c r="D110">
        <v>10229701</v>
      </c>
      <c r="E110" t="s">
        <v>77</v>
      </c>
      <c r="F110" t="s">
        <v>105</v>
      </c>
      <c r="G110" t="s">
        <v>102</v>
      </c>
      <c r="H110" t="s">
        <v>4</v>
      </c>
      <c r="I110" t="s">
        <v>91</v>
      </c>
      <c r="J110" s="15">
        <v>42872</v>
      </c>
      <c r="K110" s="15">
        <v>43056</v>
      </c>
      <c r="L110">
        <v>5000000000</v>
      </c>
      <c r="M110" t="s">
        <v>114</v>
      </c>
      <c r="N110"/>
    </row>
    <row r="111" spans="1:14" x14ac:dyDescent="0.25">
      <c r="A111" s="15">
        <v>42872</v>
      </c>
      <c r="B111" t="s">
        <v>351</v>
      </c>
      <c r="C111" t="s">
        <v>352</v>
      </c>
      <c r="D111">
        <v>10330195</v>
      </c>
      <c r="E111" t="s">
        <v>77</v>
      </c>
      <c r="F111" t="s">
        <v>105</v>
      </c>
      <c r="G111" t="s">
        <v>102</v>
      </c>
      <c r="H111" t="s">
        <v>30</v>
      </c>
      <c r="I111" t="s">
        <v>0</v>
      </c>
      <c r="J111" s="15">
        <v>42872</v>
      </c>
      <c r="K111" s="15">
        <v>43056</v>
      </c>
      <c r="L111">
        <v>240000000</v>
      </c>
      <c r="M111" t="s">
        <v>114</v>
      </c>
      <c r="N111"/>
    </row>
    <row r="112" spans="1:14" x14ac:dyDescent="0.25">
      <c r="A112" s="15">
        <v>42872</v>
      </c>
      <c r="B112" t="s">
        <v>353</v>
      </c>
      <c r="C112" t="s">
        <v>354</v>
      </c>
      <c r="D112">
        <v>10402585</v>
      </c>
      <c r="E112" t="s">
        <v>77</v>
      </c>
      <c r="F112" t="s">
        <v>103</v>
      </c>
      <c r="G112" t="s">
        <v>102</v>
      </c>
      <c r="H112" t="s">
        <v>21</v>
      </c>
      <c r="I112" t="s">
        <v>110</v>
      </c>
      <c r="J112" s="15">
        <v>42872</v>
      </c>
      <c r="K112" s="15"/>
      <c r="L112">
        <v>7000000</v>
      </c>
      <c r="M112" t="s">
        <v>114</v>
      </c>
      <c r="N112"/>
    </row>
    <row r="113" spans="1:14" x14ac:dyDescent="0.25">
      <c r="A113" s="15">
        <v>42872</v>
      </c>
      <c r="B113" t="s">
        <v>355</v>
      </c>
      <c r="C113" t="s">
        <v>356</v>
      </c>
      <c r="D113">
        <v>10055106</v>
      </c>
      <c r="E113" t="s">
        <v>146</v>
      </c>
      <c r="F113" t="s">
        <v>103</v>
      </c>
      <c r="G113" t="s">
        <v>102</v>
      </c>
      <c r="H113" t="s">
        <v>27</v>
      </c>
      <c r="I113" t="s">
        <v>82</v>
      </c>
      <c r="J113" s="15">
        <v>42872</v>
      </c>
      <c r="K113" s="15"/>
      <c r="L113">
        <v>2947100000</v>
      </c>
      <c r="M113" t="s">
        <v>114</v>
      </c>
      <c r="N113"/>
    </row>
    <row r="114" spans="1:14" x14ac:dyDescent="0.25">
      <c r="A114" s="15">
        <v>42872</v>
      </c>
      <c r="B114" t="s">
        <v>357</v>
      </c>
      <c r="C114" t="s">
        <v>358</v>
      </c>
      <c r="D114">
        <v>10377398</v>
      </c>
      <c r="E114" t="s">
        <v>77</v>
      </c>
      <c r="F114" t="s">
        <v>104</v>
      </c>
      <c r="G114" t="s">
        <v>102</v>
      </c>
      <c r="H114" t="s">
        <v>26</v>
      </c>
      <c r="I114" t="s">
        <v>88</v>
      </c>
      <c r="J114" s="15">
        <v>42872</v>
      </c>
      <c r="K114" s="15"/>
      <c r="L114">
        <v>500000000</v>
      </c>
      <c r="M114" t="s">
        <v>114</v>
      </c>
      <c r="N114"/>
    </row>
    <row r="115" spans="1:14" x14ac:dyDescent="0.25">
      <c r="A115" s="15">
        <v>42872</v>
      </c>
      <c r="B115" t="s">
        <v>359</v>
      </c>
      <c r="C115" t="s">
        <v>360</v>
      </c>
      <c r="D115">
        <v>10402489</v>
      </c>
      <c r="E115" t="s">
        <v>77</v>
      </c>
      <c r="F115" t="s">
        <v>103</v>
      </c>
      <c r="G115" t="s">
        <v>102</v>
      </c>
      <c r="H115" t="s">
        <v>27</v>
      </c>
      <c r="I115" t="s">
        <v>82</v>
      </c>
      <c r="J115" s="15">
        <v>42872</v>
      </c>
      <c r="K115" s="15"/>
      <c r="M115" t="s">
        <v>114</v>
      </c>
      <c r="N115"/>
    </row>
    <row r="116" spans="1:14" x14ac:dyDescent="0.25">
      <c r="A116" s="15">
        <v>42872</v>
      </c>
      <c r="B116" t="s">
        <v>361</v>
      </c>
      <c r="C116" t="s">
        <v>362</v>
      </c>
      <c r="D116">
        <v>10353510</v>
      </c>
      <c r="E116" t="s">
        <v>77</v>
      </c>
      <c r="F116" t="s">
        <v>105</v>
      </c>
      <c r="G116" t="s">
        <v>102</v>
      </c>
      <c r="H116" t="s">
        <v>1</v>
      </c>
      <c r="I116" t="s">
        <v>83</v>
      </c>
      <c r="J116" s="15">
        <v>42872</v>
      </c>
      <c r="K116" s="15">
        <v>43602</v>
      </c>
      <c r="L116">
        <v>5500000000</v>
      </c>
      <c r="M116" t="s">
        <v>114</v>
      </c>
      <c r="N116"/>
    </row>
    <row r="117" spans="1:14" x14ac:dyDescent="0.25">
      <c r="A117" s="15">
        <v>42872</v>
      </c>
      <c r="B117" t="s">
        <v>363</v>
      </c>
      <c r="C117" t="s">
        <v>364</v>
      </c>
      <c r="D117">
        <v>10382917</v>
      </c>
      <c r="E117" t="s">
        <v>77</v>
      </c>
      <c r="F117" t="s">
        <v>105</v>
      </c>
      <c r="G117" t="s">
        <v>102</v>
      </c>
      <c r="H117" t="s">
        <v>28</v>
      </c>
      <c r="I117" t="s">
        <v>86</v>
      </c>
      <c r="J117" s="15">
        <v>42872</v>
      </c>
      <c r="K117" s="15">
        <v>43056</v>
      </c>
      <c r="L117">
        <v>100000000</v>
      </c>
      <c r="M117" t="s">
        <v>114</v>
      </c>
      <c r="N117"/>
    </row>
    <row r="118" spans="1:14" x14ac:dyDescent="0.25">
      <c r="A118" s="15">
        <v>42872</v>
      </c>
      <c r="B118" t="s">
        <v>365</v>
      </c>
      <c r="C118" t="s">
        <v>366</v>
      </c>
      <c r="D118">
        <v>10377855</v>
      </c>
      <c r="E118" t="s">
        <v>77</v>
      </c>
      <c r="F118" t="s">
        <v>105</v>
      </c>
      <c r="G118" t="s">
        <v>102</v>
      </c>
      <c r="H118" t="s">
        <v>18</v>
      </c>
      <c r="I118" t="s">
        <v>112</v>
      </c>
      <c r="J118" s="15">
        <v>42872</v>
      </c>
      <c r="K118" s="15">
        <v>43056</v>
      </c>
      <c r="L118">
        <v>2750000000</v>
      </c>
      <c r="M118" t="s">
        <v>114</v>
      </c>
      <c r="N118"/>
    </row>
    <row r="119" spans="1:14" x14ac:dyDescent="0.25">
      <c r="A119" s="15">
        <v>42872</v>
      </c>
      <c r="B119" t="s">
        <v>367</v>
      </c>
      <c r="C119" t="s">
        <v>368</v>
      </c>
      <c r="D119">
        <v>10214671</v>
      </c>
      <c r="E119" t="s">
        <v>77</v>
      </c>
      <c r="F119" t="s">
        <v>105</v>
      </c>
      <c r="G119" t="s">
        <v>102</v>
      </c>
      <c r="H119" t="s">
        <v>26</v>
      </c>
      <c r="I119" t="s">
        <v>88</v>
      </c>
      <c r="J119" s="15">
        <v>42872</v>
      </c>
      <c r="K119" s="15">
        <v>43056</v>
      </c>
      <c r="L119">
        <v>105000000</v>
      </c>
      <c r="M119" t="s">
        <v>114</v>
      </c>
      <c r="N119"/>
    </row>
    <row r="120" spans="1:14" x14ac:dyDescent="0.25">
      <c r="A120" s="15">
        <v>42872</v>
      </c>
      <c r="B120" t="s">
        <v>369</v>
      </c>
      <c r="C120" t="s">
        <v>370</v>
      </c>
      <c r="D120">
        <v>10393001</v>
      </c>
      <c r="E120" t="s">
        <v>77</v>
      </c>
      <c r="F120" t="s">
        <v>105</v>
      </c>
      <c r="G120" t="s">
        <v>102</v>
      </c>
      <c r="H120" t="s">
        <v>3</v>
      </c>
      <c r="I120" t="s">
        <v>80</v>
      </c>
      <c r="J120" s="15">
        <v>42872</v>
      </c>
      <c r="K120" s="15">
        <v>43056</v>
      </c>
      <c r="L120">
        <v>1020000000</v>
      </c>
      <c r="M120" t="s">
        <v>114</v>
      </c>
      <c r="N120"/>
    </row>
    <row r="121" spans="1:14" x14ac:dyDescent="0.25">
      <c r="A121" s="15">
        <v>42872</v>
      </c>
      <c r="C121" t="s">
        <v>371</v>
      </c>
      <c r="D121">
        <v>10104777</v>
      </c>
      <c r="E121" t="s">
        <v>77</v>
      </c>
      <c r="F121" t="s">
        <v>101</v>
      </c>
      <c r="G121" t="s">
        <v>102</v>
      </c>
      <c r="H121" t="s">
        <v>20</v>
      </c>
      <c r="I121" t="s">
        <v>79</v>
      </c>
      <c r="J121" s="15">
        <v>42872</v>
      </c>
      <c r="K121" s="15"/>
      <c r="L121">
        <v>200000000</v>
      </c>
      <c r="M121" t="s">
        <v>114</v>
      </c>
      <c r="N121"/>
    </row>
    <row r="122" spans="1:14" x14ac:dyDescent="0.25">
      <c r="A122" s="15">
        <v>42872</v>
      </c>
      <c r="B122" t="s">
        <v>372</v>
      </c>
      <c r="C122" t="s">
        <v>373</v>
      </c>
      <c r="D122">
        <v>10397934</v>
      </c>
      <c r="E122" t="s">
        <v>77</v>
      </c>
      <c r="F122" t="s">
        <v>104</v>
      </c>
      <c r="G122" t="s">
        <v>102</v>
      </c>
      <c r="H122" t="s">
        <v>5</v>
      </c>
      <c r="I122" t="s">
        <v>140</v>
      </c>
      <c r="J122" s="15">
        <v>42872</v>
      </c>
      <c r="K122" s="15"/>
      <c r="L122">
        <v>600000000</v>
      </c>
      <c r="M122" t="s">
        <v>114</v>
      </c>
      <c r="N122"/>
    </row>
    <row r="123" spans="1:14" x14ac:dyDescent="0.25">
      <c r="A123" s="15">
        <v>42872</v>
      </c>
      <c r="B123" t="s">
        <v>374</v>
      </c>
      <c r="C123" t="s">
        <v>375</v>
      </c>
      <c r="D123">
        <v>10196590</v>
      </c>
      <c r="E123" t="s">
        <v>77</v>
      </c>
      <c r="F123" t="s">
        <v>103</v>
      </c>
      <c r="G123" t="s">
        <v>102</v>
      </c>
      <c r="H123" t="s">
        <v>22</v>
      </c>
      <c r="I123" t="s">
        <v>137</v>
      </c>
      <c r="J123" s="15">
        <v>42872</v>
      </c>
      <c r="K123" s="15"/>
      <c r="L123">
        <v>30000000</v>
      </c>
      <c r="M123" t="s">
        <v>114</v>
      </c>
      <c r="N123"/>
    </row>
    <row r="124" spans="1:14" x14ac:dyDescent="0.25">
      <c r="A124" s="15">
        <v>42872</v>
      </c>
      <c r="B124" t="s">
        <v>376</v>
      </c>
      <c r="C124" t="s">
        <v>377</v>
      </c>
      <c r="D124">
        <v>10348750</v>
      </c>
      <c r="E124" t="s">
        <v>77</v>
      </c>
      <c r="F124" t="s">
        <v>105</v>
      </c>
      <c r="G124" t="s">
        <v>102</v>
      </c>
      <c r="H124" t="s">
        <v>30</v>
      </c>
      <c r="I124" t="s">
        <v>0</v>
      </c>
      <c r="J124" s="15">
        <v>42872</v>
      </c>
      <c r="K124" s="15">
        <v>43056</v>
      </c>
      <c r="L124">
        <v>240000000</v>
      </c>
      <c r="M124" t="s">
        <v>114</v>
      </c>
      <c r="N124"/>
    </row>
    <row r="125" spans="1:14" x14ac:dyDescent="0.25">
      <c r="A125" s="15">
        <v>42872</v>
      </c>
      <c r="B125" t="s">
        <v>378</v>
      </c>
      <c r="C125" t="s">
        <v>379</v>
      </c>
      <c r="D125">
        <v>10236331</v>
      </c>
      <c r="E125" t="s">
        <v>77</v>
      </c>
      <c r="F125" t="s">
        <v>105</v>
      </c>
      <c r="G125" t="s">
        <v>102</v>
      </c>
      <c r="H125" t="s">
        <v>23</v>
      </c>
      <c r="I125" t="s">
        <v>87</v>
      </c>
      <c r="J125" s="15">
        <v>42872</v>
      </c>
      <c r="K125" s="15">
        <v>43056</v>
      </c>
      <c r="L125">
        <v>100000000</v>
      </c>
      <c r="M125" t="s">
        <v>114</v>
      </c>
      <c r="N125"/>
    </row>
    <row r="126" spans="1:14" x14ac:dyDescent="0.25">
      <c r="A126" s="15">
        <v>42872</v>
      </c>
      <c r="B126" t="s">
        <v>380</v>
      </c>
      <c r="C126" t="s">
        <v>381</v>
      </c>
      <c r="D126">
        <v>10402332</v>
      </c>
      <c r="E126" t="s">
        <v>77</v>
      </c>
      <c r="F126" t="s">
        <v>105</v>
      </c>
      <c r="G126" t="s">
        <v>102</v>
      </c>
      <c r="H126" t="s">
        <v>12</v>
      </c>
      <c r="I126" t="s">
        <v>108</v>
      </c>
      <c r="J126" s="15">
        <v>42872</v>
      </c>
      <c r="K126" s="15">
        <v>43056</v>
      </c>
      <c r="L126">
        <v>370000000</v>
      </c>
      <c r="M126" t="s">
        <v>114</v>
      </c>
      <c r="N126"/>
    </row>
    <row r="127" spans="1:14" x14ac:dyDescent="0.25">
      <c r="A127" s="15">
        <v>42872</v>
      </c>
      <c r="B127" t="s">
        <v>382</v>
      </c>
      <c r="C127" t="s">
        <v>383</v>
      </c>
      <c r="D127">
        <v>10395695</v>
      </c>
      <c r="E127" t="s">
        <v>77</v>
      </c>
      <c r="F127" t="s">
        <v>105</v>
      </c>
      <c r="G127" t="s">
        <v>102</v>
      </c>
      <c r="H127" t="s">
        <v>10</v>
      </c>
      <c r="I127" t="s">
        <v>85</v>
      </c>
      <c r="J127" s="15">
        <v>42872</v>
      </c>
      <c r="K127" s="15">
        <v>43056</v>
      </c>
      <c r="L127">
        <v>210000000</v>
      </c>
      <c r="M127" t="s">
        <v>114</v>
      </c>
      <c r="N127"/>
    </row>
    <row r="128" spans="1:14" x14ac:dyDescent="0.25">
      <c r="A128" s="15">
        <v>42872</v>
      </c>
      <c r="B128" t="s">
        <v>384</v>
      </c>
      <c r="C128" t="s">
        <v>385</v>
      </c>
      <c r="D128">
        <v>10133153</v>
      </c>
      <c r="E128" t="s">
        <v>77</v>
      </c>
      <c r="F128" t="s">
        <v>105</v>
      </c>
      <c r="G128" t="s">
        <v>102</v>
      </c>
      <c r="H128" t="s">
        <v>6</v>
      </c>
      <c r="I128" t="s">
        <v>121</v>
      </c>
      <c r="J128" s="15">
        <v>42872</v>
      </c>
      <c r="K128" s="15">
        <v>43056</v>
      </c>
      <c r="L128">
        <v>220000000</v>
      </c>
      <c r="M128" t="s">
        <v>114</v>
      </c>
      <c r="N128"/>
    </row>
    <row r="129" spans="1:14" x14ac:dyDescent="0.25">
      <c r="A129" s="15">
        <v>42872</v>
      </c>
      <c r="B129" t="s">
        <v>386</v>
      </c>
      <c r="C129" t="s">
        <v>387</v>
      </c>
      <c r="D129">
        <v>10308546</v>
      </c>
      <c r="E129" t="s">
        <v>77</v>
      </c>
      <c r="F129" t="s">
        <v>126</v>
      </c>
      <c r="G129" t="s">
        <v>102</v>
      </c>
      <c r="H129" t="s">
        <v>24</v>
      </c>
      <c r="I129" t="s">
        <v>90</v>
      </c>
      <c r="J129" s="15">
        <v>42872</v>
      </c>
      <c r="K129" s="15">
        <v>42903</v>
      </c>
      <c r="L129">
        <v>15000000</v>
      </c>
      <c r="M129" t="s">
        <v>114</v>
      </c>
      <c r="N129"/>
    </row>
    <row r="130" spans="1:14" x14ac:dyDescent="0.25">
      <c r="A130" s="15">
        <v>42872</v>
      </c>
      <c r="B130" t="s">
        <v>388</v>
      </c>
      <c r="C130" t="s">
        <v>389</v>
      </c>
      <c r="D130">
        <v>10192725</v>
      </c>
      <c r="E130" t="s">
        <v>77</v>
      </c>
      <c r="F130" t="s">
        <v>105</v>
      </c>
      <c r="G130" t="s">
        <v>102</v>
      </c>
      <c r="H130" t="s">
        <v>25</v>
      </c>
      <c r="I130" t="s">
        <v>89</v>
      </c>
      <c r="J130" s="15">
        <v>42872</v>
      </c>
      <c r="K130" s="15">
        <v>43269</v>
      </c>
      <c r="L130">
        <v>50000000</v>
      </c>
      <c r="M130" t="s">
        <v>114</v>
      </c>
      <c r="N130"/>
    </row>
    <row r="131" spans="1:14" x14ac:dyDescent="0.25">
      <c r="A131" s="15">
        <v>42872</v>
      </c>
      <c r="B131" t="s">
        <v>390</v>
      </c>
      <c r="C131" t="s">
        <v>391</v>
      </c>
      <c r="D131">
        <v>10220523</v>
      </c>
      <c r="E131" t="s">
        <v>77</v>
      </c>
      <c r="F131" t="s">
        <v>103</v>
      </c>
      <c r="G131" t="s">
        <v>102</v>
      </c>
      <c r="H131" t="s">
        <v>20</v>
      </c>
      <c r="I131" t="s">
        <v>79</v>
      </c>
      <c r="J131" s="15">
        <v>42872</v>
      </c>
      <c r="K131" s="15"/>
      <c r="L131">
        <v>10000000</v>
      </c>
      <c r="M131" t="s">
        <v>114</v>
      </c>
      <c r="N131"/>
    </row>
    <row r="132" spans="1:14" x14ac:dyDescent="0.25">
      <c r="A132" s="15">
        <v>42872</v>
      </c>
      <c r="B132" t="s">
        <v>392</v>
      </c>
      <c r="C132" t="s">
        <v>393</v>
      </c>
      <c r="D132">
        <v>10080777</v>
      </c>
      <c r="E132" t="s">
        <v>77</v>
      </c>
      <c r="F132" t="s">
        <v>103</v>
      </c>
      <c r="G132" t="s">
        <v>102</v>
      </c>
      <c r="H132" t="s">
        <v>14</v>
      </c>
      <c r="I132" t="s">
        <v>81</v>
      </c>
      <c r="J132" s="15">
        <v>42872</v>
      </c>
      <c r="K132" s="15"/>
      <c r="L132">
        <v>500000000</v>
      </c>
      <c r="M132" t="s">
        <v>114</v>
      </c>
      <c r="N132"/>
    </row>
    <row r="133" spans="1:14" x14ac:dyDescent="0.25">
      <c r="A133" s="15">
        <v>42872</v>
      </c>
      <c r="B133" t="s">
        <v>394</v>
      </c>
      <c r="C133" t="s">
        <v>395</v>
      </c>
      <c r="D133">
        <v>10116573</v>
      </c>
      <c r="E133" t="s">
        <v>77</v>
      </c>
      <c r="F133" t="s">
        <v>104</v>
      </c>
      <c r="G133" t="s">
        <v>102</v>
      </c>
      <c r="H133" t="s">
        <v>23</v>
      </c>
      <c r="I133" t="s">
        <v>87</v>
      </c>
      <c r="J133" s="15">
        <v>42872</v>
      </c>
      <c r="K133" s="15"/>
      <c r="L133">
        <v>200000000</v>
      </c>
      <c r="M133" t="s">
        <v>114</v>
      </c>
      <c r="N133"/>
    </row>
    <row r="134" spans="1:14" x14ac:dyDescent="0.25">
      <c r="A134" s="15">
        <v>42872</v>
      </c>
      <c r="B134" t="s">
        <v>396</v>
      </c>
      <c r="C134" t="s">
        <v>252</v>
      </c>
      <c r="D134">
        <v>10367206</v>
      </c>
      <c r="E134" t="s">
        <v>77</v>
      </c>
      <c r="F134" t="s">
        <v>105</v>
      </c>
      <c r="G134" t="s">
        <v>102</v>
      </c>
      <c r="H134" t="s">
        <v>26</v>
      </c>
      <c r="I134" t="s">
        <v>88</v>
      </c>
      <c r="J134" s="15">
        <v>42872</v>
      </c>
      <c r="K134" s="15">
        <v>43056</v>
      </c>
      <c r="L134">
        <v>200000000</v>
      </c>
      <c r="M134" t="s">
        <v>114</v>
      </c>
      <c r="N134"/>
    </row>
    <row r="135" spans="1:14" x14ac:dyDescent="0.25">
      <c r="A135" s="15">
        <v>42872</v>
      </c>
      <c r="B135" t="s">
        <v>397</v>
      </c>
      <c r="C135" t="s">
        <v>398</v>
      </c>
      <c r="D135">
        <v>10280614</v>
      </c>
      <c r="E135" t="s">
        <v>77</v>
      </c>
      <c r="F135" t="s">
        <v>105</v>
      </c>
      <c r="G135" t="s">
        <v>102</v>
      </c>
      <c r="H135" t="s">
        <v>10</v>
      </c>
      <c r="I135" t="s">
        <v>85</v>
      </c>
      <c r="J135" s="15">
        <v>42872</v>
      </c>
      <c r="K135" s="15">
        <v>43056</v>
      </c>
      <c r="L135">
        <v>950000000</v>
      </c>
      <c r="M135" t="s">
        <v>114</v>
      </c>
      <c r="N135"/>
    </row>
    <row r="136" spans="1:14" x14ac:dyDescent="0.25">
      <c r="A136" s="15">
        <v>42872</v>
      </c>
      <c r="B136" t="s">
        <v>399</v>
      </c>
      <c r="C136" t="s">
        <v>400</v>
      </c>
      <c r="D136">
        <v>10287860</v>
      </c>
      <c r="E136" t="s">
        <v>77</v>
      </c>
      <c r="F136" t="s">
        <v>105</v>
      </c>
      <c r="G136" t="s">
        <v>102</v>
      </c>
      <c r="H136" t="s">
        <v>1</v>
      </c>
      <c r="I136" t="s">
        <v>83</v>
      </c>
      <c r="J136" s="15">
        <v>42872</v>
      </c>
      <c r="K136" s="15">
        <v>43056</v>
      </c>
      <c r="L136">
        <v>1470000000</v>
      </c>
      <c r="M136" t="s">
        <v>114</v>
      </c>
      <c r="N136"/>
    </row>
    <row r="137" spans="1:14" x14ac:dyDescent="0.25">
      <c r="A137" s="15">
        <v>42872</v>
      </c>
      <c r="B137" t="s">
        <v>401</v>
      </c>
      <c r="C137" t="s">
        <v>402</v>
      </c>
      <c r="D137">
        <v>10402424</v>
      </c>
      <c r="E137" t="s">
        <v>77</v>
      </c>
      <c r="F137" t="s">
        <v>105</v>
      </c>
      <c r="G137" t="s">
        <v>102</v>
      </c>
      <c r="H137" t="s">
        <v>13</v>
      </c>
      <c r="I137" t="s">
        <v>147</v>
      </c>
      <c r="J137" s="15">
        <v>42872</v>
      </c>
      <c r="K137" s="15">
        <v>43056</v>
      </c>
      <c r="L137">
        <v>1650000000</v>
      </c>
      <c r="M137" t="s">
        <v>114</v>
      </c>
      <c r="N137"/>
    </row>
    <row r="138" spans="1:14" x14ac:dyDescent="0.25">
      <c r="A138" s="15">
        <v>42872</v>
      </c>
      <c r="C138" t="s">
        <v>403</v>
      </c>
      <c r="D138">
        <v>10001303</v>
      </c>
      <c r="E138" t="s">
        <v>77</v>
      </c>
      <c r="F138" t="s">
        <v>101</v>
      </c>
      <c r="G138" t="s">
        <v>102</v>
      </c>
      <c r="H138" t="s">
        <v>5</v>
      </c>
      <c r="I138" t="s">
        <v>140</v>
      </c>
      <c r="J138" s="15">
        <v>42872</v>
      </c>
      <c r="K138" s="15"/>
      <c r="L138">
        <v>170000000</v>
      </c>
      <c r="M138" t="s">
        <v>114</v>
      </c>
      <c r="N138"/>
    </row>
    <row r="139" spans="1:14" x14ac:dyDescent="0.25">
      <c r="A139" s="15">
        <v>42872</v>
      </c>
      <c r="B139" t="s">
        <v>404</v>
      </c>
      <c r="C139" t="s">
        <v>405</v>
      </c>
      <c r="D139">
        <v>10281891</v>
      </c>
      <c r="E139" t="s">
        <v>77</v>
      </c>
      <c r="F139" t="s">
        <v>103</v>
      </c>
      <c r="G139" t="s">
        <v>102</v>
      </c>
      <c r="H139" t="s">
        <v>8</v>
      </c>
      <c r="I139" t="s">
        <v>122</v>
      </c>
      <c r="J139" s="15">
        <v>42872</v>
      </c>
      <c r="K139" s="15"/>
      <c r="L139">
        <v>60000000</v>
      </c>
      <c r="M139" t="s">
        <v>114</v>
      </c>
      <c r="N139"/>
    </row>
    <row r="140" spans="1:14" x14ac:dyDescent="0.25">
      <c r="A140" s="15">
        <v>42872</v>
      </c>
      <c r="B140" t="s">
        <v>406</v>
      </c>
      <c r="C140" t="s">
        <v>407</v>
      </c>
      <c r="D140">
        <v>10320846</v>
      </c>
      <c r="E140" t="s">
        <v>77</v>
      </c>
      <c r="F140" t="s">
        <v>103</v>
      </c>
      <c r="G140" t="s">
        <v>102</v>
      </c>
      <c r="H140" t="s">
        <v>5</v>
      </c>
      <c r="I140" t="s">
        <v>140</v>
      </c>
      <c r="J140" s="15">
        <v>42872</v>
      </c>
      <c r="K140" s="15"/>
      <c r="L140">
        <v>5000000</v>
      </c>
      <c r="M140" t="s">
        <v>114</v>
      </c>
      <c r="N140"/>
    </row>
    <row r="141" spans="1:14" x14ac:dyDescent="0.25">
      <c r="A141" s="15">
        <v>42872</v>
      </c>
      <c r="B141" t="s">
        <v>408</v>
      </c>
      <c r="C141" t="s">
        <v>409</v>
      </c>
      <c r="D141">
        <v>10336129</v>
      </c>
      <c r="E141" t="s">
        <v>77</v>
      </c>
      <c r="F141" t="s">
        <v>103</v>
      </c>
      <c r="G141" t="s">
        <v>102</v>
      </c>
      <c r="H141" t="s">
        <v>5</v>
      </c>
      <c r="I141" t="s">
        <v>140</v>
      </c>
      <c r="J141" s="15">
        <v>42872</v>
      </c>
      <c r="K141" s="15"/>
      <c r="L141">
        <v>70000000</v>
      </c>
      <c r="M141" t="s">
        <v>114</v>
      </c>
      <c r="N141"/>
    </row>
    <row r="142" spans="1:14" x14ac:dyDescent="0.25">
      <c r="A142" s="15">
        <v>42872</v>
      </c>
      <c r="B142" t="s">
        <v>410</v>
      </c>
      <c r="C142" t="s">
        <v>411</v>
      </c>
      <c r="D142">
        <v>10374108</v>
      </c>
      <c r="E142" t="s">
        <v>77</v>
      </c>
      <c r="F142" t="s">
        <v>103</v>
      </c>
      <c r="G142" t="s">
        <v>102</v>
      </c>
      <c r="H142" t="s">
        <v>28</v>
      </c>
      <c r="I142" t="s">
        <v>86</v>
      </c>
      <c r="J142" s="15">
        <v>42872</v>
      </c>
      <c r="K142" s="15"/>
      <c r="L142">
        <v>300000000</v>
      </c>
      <c r="M142" t="s">
        <v>114</v>
      </c>
      <c r="N142"/>
    </row>
    <row r="143" spans="1:14" x14ac:dyDescent="0.25">
      <c r="A143" s="15">
        <v>42872</v>
      </c>
      <c r="B143" t="s">
        <v>412</v>
      </c>
      <c r="C143" t="s">
        <v>413</v>
      </c>
      <c r="D143">
        <v>10153262</v>
      </c>
      <c r="E143" t="s">
        <v>77</v>
      </c>
      <c r="F143" t="s">
        <v>103</v>
      </c>
      <c r="G143" t="s">
        <v>102</v>
      </c>
      <c r="H143" t="s">
        <v>4</v>
      </c>
      <c r="I143" t="s">
        <v>91</v>
      </c>
      <c r="J143" s="15">
        <v>42872</v>
      </c>
      <c r="K143" s="15"/>
      <c r="L143">
        <v>100000000</v>
      </c>
      <c r="M143" t="s">
        <v>114</v>
      </c>
      <c r="N143"/>
    </row>
    <row r="144" spans="1:14" x14ac:dyDescent="0.25">
      <c r="A144" s="15">
        <v>42872</v>
      </c>
      <c r="B144" t="s">
        <v>414</v>
      </c>
      <c r="C144" t="s">
        <v>415</v>
      </c>
      <c r="D144">
        <v>10377250</v>
      </c>
      <c r="E144" t="s">
        <v>77</v>
      </c>
      <c r="F144" t="s">
        <v>104</v>
      </c>
      <c r="G144" t="s">
        <v>102</v>
      </c>
      <c r="H144" t="s">
        <v>21</v>
      </c>
      <c r="I144" t="s">
        <v>110</v>
      </c>
      <c r="J144" s="15">
        <v>42872</v>
      </c>
      <c r="K144" s="15"/>
      <c r="L144">
        <v>200000000</v>
      </c>
      <c r="M144" t="s">
        <v>114</v>
      </c>
      <c r="N144"/>
    </row>
    <row r="145" spans="1:14" x14ac:dyDescent="0.25">
      <c r="A145" s="15">
        <v>42872</v>
      </c>
      <c r="B145" t="s">
        <v>416</v>
      </c>
      <c r="C145" t="s">
        <v>417</v>
      </c>
      <c r="D145">
        <v>10268255</v>
      </c>
      <c r="E145" t="s">
        <v>77</v>
      </c>
      <c r="F145" t="s">
        <v>105</v>
      </c>
      <c r="G145" t="s">
        <v>102</v>
      </c>
      <c r="H145" t="s">
        <v>27</v>
      </c>
      <c r="I145" t="s">
        <v>82</v>
      </c>
      <c r="J145" s="15">
        <v>42872</v>
      </c>
      <c r="K145" s="15">
        <v>43056</v>
      </c>
      <c r="L145">
        <v>900000000</v>
      </c>
      <c r="M145" t="s">
        <v>114</v>
      </c>
      <c r="N145"/>
    </row>
    <row r="146" spans="1:14" x14ac:dyDescent="0.25">
      <c r="N146"/>
    </row>
    <row r="147" spans="1:14" x14ac:dyDescent="0.25">
      <c r="N147"/>
    </row>
    <row r="148" spans="1:14" x14ac:dyDescent="0.25">
      <c r="N148"/>
    </row>
    <row r="149" spans="1:14" x14ac:dyDescent="0.25">
      <c r="N149"/>
    </row>
    <row r="150" spans="1:14" x14ac:dyDescent="0.25">
      <c r="N150"/>
    </row>
    <row r="151" spans="1:14" x14ac:dyDescent="0.25">
      <c r="N151"/>
    </row>
    <row r="152" spans="1:14" x14ac:dyDescent="0.25">
      <c r="N152"/>
    </row>
    <row r="153" spans="1:14" x14ac:dyDescent="0.25">
      <c r="N153"/>
    </row>
    <row r="154" spans="1:14" x14ac:dyDescent="0.25">
      <c r="N154"/>
    </row>
    <row r="155" spans="1:14" x14ac:dyDescent="0.25">
      <c r="N155"/>
    </row>
    <row r="156" spans="1:14" x14ac:dyDescent="0.25">
      <c r="N156"/>
    </row>
    <row r="157" spans="1:14" x14ac:dyDescent="0.25">
      <c r="N157"/>
    </row>
    <row r="158" spans="1:14" x14ac:dyDescent="0.25">
      <c r="N158"/>
    </row>
    <row r="159" spans="1:14" x14ac:dyDescent="0.25">
      <c r="N159"/>
    </row>
    <row r="160" spans="1:14" x14ac:dyDescent="0.25">
      <c r="N160"/>
    </row>
    <row r="161" spans="14:14" x14ac:dyDescent="0.25">
      <c r="N161"/>
    </row>
    <row r="162" spans="14:14" x14ac:dyDescent="0.25">
      <c r="N162"/>
    </row>
    <row r="163" spans="14:14" x14ac:dyDescent="0.25">
      <c r="N163"/>
    </row>
    <row r="164" spans="14:14" x14ac:dyDescent="0.25">
      <c r="N164"/>
    </row>
    <row r="165" spans="14:14" x14ac:dyDescent="0.25">
      <c r="N165"/>
    </row>
    <row r="166" spans="14:14" x14ac:dyDescent="0.25">
      <c r="N166"/>
    </row>
    <row r="167" spans="14:14" x14ac:dyDescent="0.25">
      <c r="N167"/>
    </row>
    <row r="168" spans="14:14" x14ac:dyDescent="0.25">
      <c r="N168"/>
    </row>
    <row r="169" spans="14:14" x14ac:dyDescent="0.25">
      <c r="N169"/>
    </row>
    <row r="170" spans="14:14" x14ac:dyDescent="0.25">
      <c r="N170"/>
    </row>
    <row r="171" spans="14:14" x14ac:dyDescent="0.25">
      <c r="N171"/>
    </row>
    <row r="172" spans="14:14" x14ac:dyDescent="0.25">
      <c r="N172"/>
    </row>
    <row r="173" spans="14:14" x14ac:dyDescent="0.25">
      <c r="N173"/>
    </row>
    <row r="174" spans="14:14" x14ac:dyDescent="0.25">
      <c r="N174"/>
    </row>
    <row r="175" spans="14:14" x14ac:dyDescent="0.25">
      <c r="N175"/>
    </row>
    <row r="176" spans="14:14" x14ac:dyDescent="0.25">
      <c r="N176"/>
    </row>
    <row r="177" spans="14:14" x14ac:dyDescent="0.25">
      <c r="N177"/>
    </row>
    <row r="178" spans="14:14" x14ac:dyDescent="0.25">
      <c r="N178"/>
    </row>
    <row r="179" spans="14:14" x14ac:dyDescent="0.25">
      <c r="N179"/>
    </row>
    <row r="180" spans="14:14" x14ac:dyDescent="0.25">
      <c r="N18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9"/>
  <sheetViews>
    <sheetView workbookViewId="0">
      <selection activeCell="E9" sqref="E9"/>
    </sheetView>
  </sheetViews>
  <sheetFormatPr defaultRowHeight="15" x14ac:dyDescent="0.25"/>
  <cols>
    <col min="1" max="1" width="17.85546875" customWidth="1"/>
    <col min="2" max="2" width="16.28515625" customWidth="1"/>
    <col min="3" max="3" width="12.85546875" customWidth="1"/>
    <col min="4" max="4" width="16.7109375" customWidth="1"/>
    <col min="5" max="5" width="29.85546875" bestFit="1" customWidth="1"/>
    <col min="6" max="6" width="14.7109375" style="9" customWidth="1"/>
    <col min="7" max="7" width="18.42578125" style="9" customWidth="1"/>
    <col min="8" max="8" width="20.5703125" customWidth="1"/>
    <col min="9" max="9" width="12.85546875" customWidth="1"/>
    <col min="10" max="10" width="12.7109375" customWidth="1"/>
    <col min="11" max="11" width="11" bestFit="1" customWidth="1"/>
    <col min="12" max="12" width="10.85546875" customWidth="1"/>
    <col min="13" max="13" width="21" customWidth="1"/>
    <col min="14" max="14" width="21.140625" customWidth="1"/>
  </cols>
  <sheetData>
    <row r="1" spans="1:14" s="4" customFormat="1" x14ac:dyDescent="0.25">
      <c r="A1" s="4" t="s">
        <v>93</v>
      </c>
      <c r="B1" s="4" t="s">
        <v>94</v>
      </c>
      <c r="C1" s="4" t="s">
        <v>95</v>
      </c>
      <c r="D1" s="4" t="s">
        <v>72</v>
      </c>
      <c r="E1" s="4" t="s">
        <v>73</v>
      </c>
      <c r="F1" s="8" t="s">
        <v>74</v>
      </c>
      <c r="G1" s="8" t="s">
        <v>75</v>
      </c>
      <c r="H1" s="4" t="s">
        <v>96</v>
      </c>
      <c r="I1" s="4" t="s">
        <v>70</v>
      </c>
      <c r="J1" s="4" t="s">
        <v>97</v>
      </c>
      <c r="K1" s="4" t="s">
        <v>98</v>
      </c>
      <c r="L1" s="4" t="s">
        <v>99</v>
      </c>
      <c r="M1" s="4" t="s">
        <v>100</v>
      </c>
      <c r="N1" s="4" t="s">
        <v>113</v>
      </c>
    </row>
    <row r="2" spans="1:14" x14ac:dyDescent="0.25">
      <c r="A2" t="s">
        <v>418</v>
      </c>
      <c r="B2">
        <v>10213983</v>
      </c>
      <c r="C2" t="s">
        <v>77</v>
      </c>
      <c r="D2" t="s">
        <v>1</v>
      </c>
      <c r="E2" t="s">
        <v>83</v>
      </c>
      <c r="F2" s="9">
        <v>42872</v>
      </c>
      <c r="G2" s="9">
        <v>43056</v>
      </c>
      <c r="H2" t="s">
        <v>419</v>
      </c>
      <c r="I2" t="s">
        <v>107</v>
      </c>
      <c r="J2">
        <v>4715084000</v>
      </c>
      <c r="K2" t="s">
        <v>420</v>
      </c>
      <c r="M2">
        <v>4715084000</v>
      </c>
      <c r="N2" t="s">
        <v>115</v>
      </c>
    </row>
    <row r="3" spans="1:14" x14ac:dyDescent="0.25">
      <c r="A3" t="s">
        <v>421</v>
      </c>
      <c r="B3">
        <v>10054526</v>
      </c>
      <c r="C3" t="s">
        <v>77</v>
      </c>
      <c r="D3" t="s">
        <v>12</v>
      </c>
      <c r="E3" t="s">
        <v>108</v>
      </c>
      <c r="F3" s="9">
        <v>42872</v>
      </c>
      <c r="G3" s="9">
        <v>42975</v>
      </c>
      <c r="H3" t="s">
        <v>422</v>
      </c>
      <c r="I3" t="s">
        <v>107</v>
      </c>
      <c r="J3">
        <v>996733333</v>
      </c>
      <c r="K3" t="s">
        <v>423</v>
      </c>
      <c r="M3">
        <v>996733333</v>
      </c>
      <c r="N3" t="s">
        <v>114</v>
      </c>
    </row>
    <row r="4" spans="1:14" x14ac:dyDescent="0.25">
      <c r="A4" t="s">
        <v>424</v>
      </c>
      <c r="B4">
        <v>10221255</v>
      </c>
      <c r="C4" t="s">
        <v>77</v>
      </c>
      <c r="D4" t="s">
        <v>1</v>
      </c>
      <c r="E4" t="s">
        <v>83</v>
      </c>
      <c r="F4" s="9">
        <v>42872</v>
      </c>
      <c r="G4" s="9">
        <v>43056</v>
      </c>
      <c r="H4" t="s">
        <v>425</v>
      </c>
      <c r="I4" t="s">
        <v>107</v>
      </c>
      <c r="J4">
        <v>1280070000</v>
      </c>
      <c r="K4" t="s">
        <v>426</v>
      </c>
      <c r="M4">
        <v>1280070000</v>
      </c>
      <c r="N4" t="s">
        <v>115</v>
      </c>
    </row>
    <row r="5" spans="1:14" x14ac:dyDescent="0.25">
      <c r="A5" t="s">
        <v>427</v>
      </c>
      <c r="B5">
        <v>10213247</v>
      </c>
      <c r="C5" t="s">
        <v>77</v>
      </c>
      <c r="D5" t="s">
        <v>26</v>
      </c>
      <c r="E5" t="s">
        <v>88</v>
      </c>
      <c r="F5" s="9">
        <v>42872</v>
      </c>
      <c r="G5" s="9">
        <v>43056</v>
      </c>
      <c r="H5" t="s">
        <v>142</v>
      </c>
      <c r="I5" t="s">
        <v>107</v>
      </c>
      <c r="J5">
        <v>1200000000</v>
      </c>
      <c r="K5" t="s">
        <v>138</v>
      </c>
      <c r="M5">
        <v>1200000000</v>
      </c>
      <c r="N5" t="s">
        <v>115</v>
      </c>
    </row>
    <row r="6" spans="1:14" x14ac:dyDescent="0.25">
      <c r="A6" t="s">
        <v>428</v>
      </c>
      <c r="B6">
        <v>10356112</v>
      </c>
      <c r="C6" t="s">
        <v>77</v>
      </c>
      <c r="D6" t="s">
        <v>29</v>
      </c>
      <c r="E6" t="s">
        <v>119</v>
      </c>
      <c r="F6" s="9">
        <v>42872</v>
      </c>
      <c r="G6" s="9">
        <v>43056</v>
      </c>
      <c r="H6" t="s">
        <v>429</v>
      </c>
      <c r="I6" t="s">
        <v>107</v>
      </c>
      <c r="J6">
        <v>1500000000</v>
      </c>
      <c r="K6" t="s">
        <v>143</v>
      </c>
      <c r="M6">
        <v>1500000000</v>
      </c>
      <c r="N6" t="s">
        <v>115</v>
      </c>
    </row>
    <row r="7" spans="1:14" x14ac:dyDescent="0.25">
      <c r="A7" t="s">
        <v>430</v>
      </c>
      <c r="B7">
        <v>10385331</v>
      </c>
      <c r="C7" t="s">
        <v>77</v>
      </c>
      <c r="D7" t="s">
        <v>1</v>
      </c>
      <c r="E7" t="s">
        <v>83</v>
      </c>
      <c r="F7" s="9">
        <v>42872</v>
      </c>
      <c r="G7" s="9">
        <v>50113</v>
      </c>
      <c r="H7" t="s">
        <v>431</v>
      </c>
      <c r="I7" t="s">
        <v>107</v>
      </c>
      <c r="J7">
        <v>253909200</v>
      </c>
      <c r="K7" t="s">
        <v>432</v>
      </c>
      <c r="M7">
        <v>253909200</v>
      </c>
      <c r="N7" t="s">
        <v>114</v>
      </c>
    </row>
    <row r="8" spans="1:14" x14ac:dyDescent="0.25">
      <c r="A8" t="s">
        <v>433</v>
      </c>
      <c r="B8">
        <v>10386081</v>
      </c>
      <c r="C8" t="s">
        <v>77</v>
      </c>
      <c r="D8" t="s">
        <v>21</v>
      </c>
      <c r="E8" t="s">
        <v>110</v>
      </c>
      <c r="F8" s="9">
        <v>42872</v>
      </c>
      <c r="G8" s="9">
        <v>42982</v>
      </c>
      <c r="H8" t="s">
        <v>434</v>
      </c>
      <c r="I8" t="s">
        <v>107</v>
      </c>
      <c r="J8">
        <v>99591250</v>
      </c>
      <c r="K8" t="s">
        <v>435</v>
      </c>
      <c r="M8">
        <v>99591250</v>
      </c>
      <c r="N8" t="s">
        <v>114</v>
      </c>
    </row>
    <row r="9" spans="1:14" x14ac:dyDescent="0.25">
      <c r="A9" t="s">
        <v>436</v>
      </c>
      <c r="B9">
        <v>10271259</v>
      </c>
      <c r="C9" t="s">
        <v>77</v>
      </c>
      <c r="D9" t="s">
        <v>29</v>
      </c>
      <c r="E9" t="s">
        <v>119</v>
      </c>
      <c r="F9" s="9">
        <v>42872</v>
      </c>
      <c r="G9" s="9">
        <v>43056</v>
      </c>
      <c r="H9" t="s">
        <v>437</v>
      </c>
      <c r="I9" t="s">
        <v>107</v>
      </c>
      <c r="J9">
        <v>627000000</v>
      </c>
      <c r="K9" t="s">
        <v>438</v>
      </c>
      <c r="M9">
        <v>627000000</v>
      </c>
      <c r="N9" t="s">
        <v>115</v>
      </c>
    </row>
    <row r="10" spans="1:14" x14ac:dyDescent="0.25">
      <c r="A10" t="s">
        <v>439</v>
      </c>
      <c r="B10">
        <v>10346522</v>
      </c>
      <c r="C10" t="s">
        <v>77</v>
      </c>
      <c r="D10" t="s">
        <v>21</v>
      </c>
      <c r="E10" t="s">
        <v>110</v>
      </c>
      <c r="F10" s="9">
        <v>42872</v>
      </c>
      <c r="G10" s="9">
        <v>42994</v>
      </c>
      <c r="H10" t="s">
        <v>440</v>
      </c>
      <c r="I10" t="s">
        <v>107</v>
      </c>
      <c r="J10">
        <v>228565694</v>
      </c>
      <c r="K10" t="s">
        <v>441</v>
      </c>
      <c r="M10">
        <v>228565694</v>
      </c>
      <c r="N10" t="s">
        <v>114</v>
      </c>
    </row>
    <row r="11" spans="1:14" x14ac:dyDescent="0.25">
      <c r="A11" t="s">
        <v>442</v>
      </c>
      <c r="B11">
        <v>10395695</v>
      </c>
      <c r="C11" t="s">
        <v>77</v>
      </c>
      <c r="D11" t="s">
        <v>10</v>
      </c>
      <c r="E11" t="s">
        <v>85</v>
      </c>
      <c r="F11" s="9">
        <v>42872</v>
      </c>
      <c r="G11" s="9">
        <v>43025</v>
      </c>
      <c r="H11" t="s">
        <v>443</v>
      </c>
      <c r="I11" t="s">
        <v>107</v>
      </c>
      <c r="J11">
        <v>298208750</v>
      </c>
      <c r="K11" t="s">
        <v>444</v>
      </c>
      <c r="M11">
        <v>298208750</v>
      </c>
      <c r="N11" t="s">
        <v>114</v>
      </c>
    </row>
    <row r="12" spans="1:14" x14ac:dyDescent="0.25">
      <c r="A12" t="s">
        <v>445</v>
      </c>
      <c r="B12">
        <v>10360480</v>
      </c>
      <c r="C12" t="s">
        <v>77</v>
      </c>
      <c r="D12" t="s">
        <v>13</v>
      </c>
      <c r="E12" t="s">
        <v>147</v>
      </c>
      <c r="F12" s="9">
        <v>42872</v>
      </c>
      <c r="G12" s="9">
        <v>42882</v>
      </c>
      <c r="H12" t="s">
        <v>446</v>
      </c>
      <c r="I12" t="s">
        <v>107</v>
      </c>
      <c r="J12">
        <v>3000000000</v>
      </c>
      <c r="K12" t="s">
        <v>151</v>
      </c>
      <c r="M12">
        <v>3000000000</v>
      </c>
      <c r="N12" t="s">
        <v>114</v>
      </c>
    </row>
    <row r="13" spans="1:14" x14ac:dyDescent="0.25">
      <c r="A13" t="s">
        <v>447</v>
      </c>
      <c r="B13">
        <v>10237844</v>
      </c>
      <c r="C13" t="s">
        <v>77</v>
      </c>
      <c r="D13" t="s">
        <v>26</v>
      </c>
      <c r="E13" t="s">
        <v>88</v>
      </c>
      <c r="F13" s="9">
        <v>42872</v>
      </c>
      <c r="G13" s="9">
        <v>42964</v>
      </c>
      <c r="H13" t="s">
        <v>448</v>
      </c>
      <c r="I13" t="s">
        <v>107</v>
      </c>
      <c r="J13">
        <v>200000000</v>
      </c>
      <c r="K13" t="s">
        <v>145</v>
      </c>
      <c r="M13">
        <v>200000000</v>
      </c>
      <c r="N13" t="s">
        <v>114</v>
      </c>
    </row>
    <row r="14" spans="1:14" x14ac:dyDescent="0.25">
      <c r="A14" t="s">
        <v>449</v>
      </c>
      <c r="B14">
        <v>10351864</v>
      </c>
      <c r="C14" t="s">
        <v>146</v>
      </c>
      <c r="D14" t="s">
        <v>5</v>
      </c>
      <c r="E14" t="s">
        <v>140</v>
      </c>
      <c r="F14" s="9">
        <v>42872</v>
      </c>
      <c r="G14" s="9">
        <v>43056</v>
      </c>
      <c r="H14" t="s">
        <v>450</v>
      </c>
      <c r="I14" t="s">
        <v>451</v>
      </c>
      <c r="J14">
        <v>78600</v>
      </c>
      <c r="K14" t="s">
        <v>452</v>
      </c>
      <c r="M14">
        <v>1781862000</v>
      </c>
      <c r="N14" t="s">
        <v>115</v>
      </c>
    </row>
    <row r="15" spans="1:14" x14ac:dyDescent="0.25">
      <c r="A15" t="s">
        <v>453</v>
      </c>
      <c r="B15">
        <v>10345412</v>
      </c>
      <c r="C15" t="s">
        <v>77</v>
      </c>
      <c r="D15" t="s">
        <v>21</v>
      </c>
      <c r="E15" t="s">
        <v>110</v>
      </c>
      <c r="F15" s="9">
        <v>42872</v>
      </c>
      <c r="G15" s="9">
        <v>42982</v>
      </c>
      <c r="H15" t="s">
        <v>454</v>
      </c>
      <c r="I15" t="s">
        <v>107</v>
      </c>
      <c r="J15">
        <v>1000000000</v>
      </c>
      <c r="K15" t="s">
        <v>139</v>
      </c>
      <c r="M15">
        <v>1000000000</v>
      </c>
      <c r="N15" t="s">
        <v>114</v>
      </c>
    </row>
    <row r="16" spans="1:14" x14ac:dyDescent="0.25">
      <c r="A16" t="s">
        <v>455</v>
      </c>
      <c r="B16">
        <v>10196590</v>
      </c>
      <c r="C16" t="s">
        <v>77</v>
      </c>
      <c r="D16" t="s">
        <v>22</v>
      </c>
      <c r="E16" t="s">
        <v>137</v>
      </c>
      <c r="F16" s="9">
        <v>42872</v>
      </c>
      <c r="G16" s="9">
        <v>43025</v>
      </c>
      <c r="H16" t="s">
        <v>456</v>
      </c>
      <c r="I16" t="s">
        <v>107</v>
      </c>
      <c r="J16">
        <v>49703611</v>
      </c>
      <c r="K16" t="s">
        <v>457</v>
      </c>
      <c r="M16">
        <v>49703611</v>
      </c>
      <c r="N16" t="s">
        <v>114</v>
      </c>
    </row>
    <row r="17" spans="1:14" x14ac:dyDescent="0.25">
      <c r="A17" t="s">
        <v>458</v>
      </c>
      <c r="B17">
        <v>10115570</v>
      </c>
      <c r="C17" t="s">
        <v>77</v>
      </c>
      <c r="D17" t="s">
        <v>25</v>
      </c>
      <c r="E17" t="s">
        <v>89</v>
      </c>
      <c r="F17" s="9">
        <v>42872</v>
      </c>
      <c r="G17" s="9">
        <v>42940</v>
      </c>
      <c r="H17" t="s">
        <v>459</v>
      </c>
      <c r="I17" t="s">
        <v>107</v>
      </c>
      <c r="J17">
        <v>49867500</v>
      </c>
      <c r="K17" t="s">
        <v>460</v>
      </c>
      <c r="M17">
        <v>49867500</v>
      </c>
      <c r="N17" t="s">
        <v>114</v>
      </c>
    </row>
    <row r="18" spans="1:14" x14ac:dyDescent="0.25">
      <c r="A18" t="s">
        <v>461</v>
      </c>
      <c r="B18">
        <v>10402006</v>
      </c>
      <c r="C18" t="s">
        <v>77</v>
      </c>
      <c r="D18" t="s">
        <v>5</v>
      </c>
      <c r="E18" t="s">
        <v>140</v>
      </c>
      <c r="F18" s="9">
        <v>42872</v>
      </c>
      <c r="G18" s="9">
        <v>50177</v>
      </c>
      <c r="H18" t="s">
        <v>462</v>
      </c>
      <c r="I18" t="s">
        <v>107</v>
      </c>
      <c r="J18">
        <v>489603788</v>
      </c>
      <c r="K18" t="s">
        <v>463</v>
      </c>
      <c r="M18">
        <v>489603788</v>
      </c>
      <c r="N18" t="s">
        <v>114</v>
      </c>
    </row>
    <row r="19" spans="1:14" x14ac:dyDescent="0.25">
      <c r="A19" t="s">
        <v>464</v>
      </c>
      <c r="B19">
        <v>10288017</v>
      </c>
      <c r="C19" t="s">
        <v>77</v>
      </c>
      <c r="D19" t="s">
        <v>21</v>
      </c>
      <c r="E19" t="s">
        <v>110</v>
      </c>
      <c r="F19" s="9">
        <v>42872</v>
      </c>
      <c r="G19" s="9">
        <v>42991</v>
      </c>
      <c r="H19" t="s">
        <v>465</v>
      </c>
      <c r="I19" t="s">
        <v>107</v>
      </c>
      <c r="J19">
        <v>298277917</v>
      </c>
      <c r="K19" t="s">
        <v>466</v>
      </c>
      <c r="M19">
        <v>298277917</v>
      </c>
      <c r="N19" t="s">
        <v>114</v>
      </c>
    </row>
    <row r="20" spans="1:14" x14ac:dyDescent="0.25">
      <c r="A20" t="s">
        <v>467</v>
      </c>
      <c r="B20">
        <v>10346522</v>
      </c>
      <c r="C20" t="s">
        <v>77</v>
      </c>
      <c r="D20" t="s">
        <v>21</v>
      </c>
      <c r="E20" t="s">
        <v>110</v>
      </c>
      <c r="F20" s="9">
        <v>42872</v>
      </c>
      <c r="G20" s="9">
        <v>42994</v>
      </c>
      <c r="H20" t="s">
        <v>468</v>
      </c>
      <c r="I20" t="s">
        <v>107</v>
      </c>
      <c r="J20">
        <v>149064583</v>
      </c>
      <c r="K20" t="s">
        <v>469</v>
      </c>
      <c r="M20">
        <v>149064583</v>
      </c>
      <c r="N20" t="s">
        <v>114</v>
      </c>
    </row>
    <row r="21" spans="1:14" x14ac:dyDescent="0.25">
      <c r="A21" t="s">
        <v>470</v>
      </c>
      <c r="B21">
        <v>10324688</v>
      </c>
      <c r="C21" t="s">
        <v>77</v>
      </c>
      <c r="D21" t="s">
        <v>27</v>
      </c>
      <c r="E21" t="s">
        <v>82</v>
      </c>
      <c r="F21" s="9">
        <v>42872</v>
      </c>
      <c r="G21" s="9">
        <v>42902</v>
      </c>
      <c r="H21" t="s">
        <v>471</v>
      </c>
      <c r="I21" t="s">
        <v>107</v>
      </c>
      <c r="J21">
        <v>2500000000</v>
      </c>
      <c r="K21" t="s">
        <v>148</v>
      </c>
      <c r="M21">
        <v>2500000000</v>
      </c>
      <c r="N21" t="s">
        <v>114</v>
      </c>
    </row>
    <row r="22" spans="1:14" x14ac:dyDescent="0.25">
      <c r="A22" t="s">
        <v>472</v>
      </c>
      <c r="B22">
        <v>10402154</v>
      </c>
      <c r="C22" t="s">
        <v>77</v>
      </c>
      <c r="D22" t="s">
        <v>21</v>
      </c>
      <c r="E22" t="s">
        <v>110</v>
      </c>
      <c r="F22" s="9">
        <v>42872</v>
      </c>
      <c r="G22" s="9">
        <v>48716</v>
      </c>
      <c r="H22" t="s">
        <v>473</v>
      </c>
      <c r="I22" t="s">
        <v>107</v>
      </c>
      <c r="J22">
        <v>1900000000</v>
      </c>
      <c r="K22" t="s">
        <v>474</v>
      </c>
      <c r="M22">
        <v>1900000000</v>
      </c>
      <c r="N22" t="s">
        <v>114</v>
      </c>
    </row>
    <row r="23" spans="1:14" x14ac:dyDescent="0.25">
      <c r="A23" t="s">
        <v>475</v>
      </c>
      <c r="B23">
        <v>10346709</v>
      </c>
      <c r="C23" t="s">
        <v>77</v>
      </c>
      <c r="D23" t="s">
        <v>15</v>
      </c>
      <c r="E23" t="s">
        <v>124</v>
      </c>
      <c r="F23" s="9">
        <v>42872</v>
      </c>
      <c r="G23" s="9">
        <v>50039</v>
      </c>
      <c r="H23" t="s">
        <v>476</v>
      </c>
      <c r="I23" t="s">
        <v>107</v>
      </c>
      <c r="J23">
        <v>78089780</v>
      </c>
      <c r="K23" t="s">
        <v>477</v>
      </c>
      <c r="M23">
        <v>78089780</v>
      </c>
      <c r="N23" t="s">
        <v>114</v>
      </c>
    </row>
    <row r="24" spans="1:14" x14ac:dyDescent="0.25">
      <c r="A24" t="s">
        <v>478</v>
      </c>
      <c r="B24">
        <v>10334548</v>
      </c>
      <c r="C24" t="s">
        <v>77</v>
      </c>
      <c r="D24" t="s">
        <v>27</v>
      </c>
      <c r="E24" t="s">
        <v>82</v>
      </c>
      <c r="F24" s="9">
        <v>42872</v>
      </c>
      <c r="G24" s="9">
        <v>43015</v>
      </c>
      <c r="H24" t="s">
        <v>479</v>
      </c>
      <c r="I24" t="s">
        <v>107</v>
      </c>
      <c r="J24">
        <v>298704583</v>
      </c>
      <c r="K24" t="s">
        <v>480</v>
      </c>
      <c r="M24">
        <v>298704583</v>
      </c>
      <c r="N24" t="s">
        <v>114</v>
      </c>
    </row>
    <row r="25" spans="1:14" x14ac:dyDescent="0.25">
      <c r="A25" t="s">
        <v>481</v>
      </c>
      <c r="B25">
        <v>10163927</v>
      </c>
      <c r="C25" t="s">
        <v>77</v>
      </c>
      <c r="D25" t="s">
        <v>3</v>
      </c>
      <c r="E25" t="s">
        <v>80</v>
      </c>
      <c r="F25" s="9">
        <v>42872</v>
      </c>
      <c r="G25" s="9">
        <v>44698</v>
      </c>
      <c r="H25" t="s">
        <v>482</v>
      </c>
      <c r="I25" t="s">
        <v>107</v>
      </c>
      <c r="J25">
        <v>60000000</v>
      </c>
      <c r="K25" t="s">
        <v>149</v>
      </c>
      <c r="M25">
        <v>60000000</v>
      </c>
      <c r="N25" t="s">
        <v>114</v>
      </c>
    </row>
    <row r="26" spans="1:14" x14ac:dyDescent="0.25">
      <c r="A26" t="s">
        <v>483</v>
      </c>
      <c r="B26">
        <v>10165207</v>
      </c>
      <c r="C26" t="s">
        <v>77</v>
      </c>
      <c r="D26" t="s">
        <v>3</v>
      </c>
      <c r="E26" t="s">
        <v>80</v>
      </c>
      <c r="F26" s="9">
        <v>42872</v>
      </c>
      <c r="G26" s="9">
        <v>43126</v>
      </c>
      <c r="H26" t="s">
        <v>484</v>
      </c>
      <c r="I26" t="s">
        <v>107</v>
      </c>
      <c r="J26">
        <v>100000000</v>
      </c>
      <c r="K26" t="s">
        <v>141</v>
      </c>
      <c r="M26">
        <v>100000000</v>
      </c>
      <c r="N26" t="s">
        <v>114</v>
      </c>
    </row>
    <row r="27" spans="1:14" x14ac:dyDescent="0.25">
      <c r="A27" t="s">
        <v>485</v>
      </c>
      <c r="B27">
        <v>10400696</v>
      </c>
      <c r="C27" t="s">
        <v>77</v>
      </c>
      <c r="D27" t="s">
        <v>28</v>
      </c>
      <c r="E27" t="s">
        <v>86</v>
      </c>
      <c r="F27" s="9">
        <v>42872</v>
      </c>
      <c r="G27" s="9">
        <v>42903</v>
      </c>
      <c r="H27" t="s">
        <v>486</v>
      </c>
      <c r="I27" t="s">
        <v>107</v>
      </c>
      <c r="J27">
        <v>150000000</v>
      </c>
      <c r="K27" t="s">
        <v>152</v>
      </c>
      <c r="M27">
        <v>150000000</v>
      </c>
      <c r="N27" t="s">
        <v>114</v>
      </c>
    </row>
    <row r="28" spans="1:14" x14ac:dyDescent="0.25">
      <c r="A28" t="s">
        <v>487</v>
      </c>
      <c r="B28">
        <v>10344252</v>
      </c>
      <c r="C28" t="s">
        <v>77</v>
      </c>
      <c r="D28" t="s">
        <v>7</v>
      </c>
      <c r="E28" t="s">
        <v>118</v>
      </c>
      <c r="F28" s="9">
        <v>42872</v>
      </c>
      <c r="G28" s="9">
        <v>42991</v>
      </c>
      <c r="H28" t="s">
        <v>488</v>
      </c>
      <c r="I28" t="s">
        <v>107</v>
      </c>
      <c r="J28">
        <v>695955556</v>
      </c>
      <c r="K28" t="s">
        <v>489</v>
      </c>
      <c r="M28">
        <v>695955556</v>
      </c>
      <c r="N28" t="s">
        <v>114</v>
      </c>
    </row>
    <row r="29" spans="1:14" x14ac:dyDescent="0.25">
      <c r="A29" t="s">
        <v>490</v>
      </c>
      <c r="B29">
        <v>10360480</v>
      </c>
      <c r="C29" t="s">
        <v>77</v>
      </c>
      <c r="D29" t="s">
        <v>13</v>
      </c>
      <c r="E29" t="s">
        <v>147</v>
      </c>
      <c r="F29" s="9">
        <v>42872</v>
      </c>
      <c r="G29" s="9">
        <v>42947</v>
      </c>
      <c r="H29" t="s">
        <v>491</v>
      </c>
      <c r="I29" t="s">
        <v>107</v>
      </c>
      <c r="J29">
        <v>994580556</v>
      </c>
      <c r="K29" t="s">
        <v>492</v>
      </c>
      <c r="M29">
        <v>994580556</v>
      </c>
      <c r="N29" t="s">
        <v>114</v>
      </c>
    </row>
    <row r="30" spans="1:14" x14ac:dyDescent="0.25">
      <c r="A30" t="s">
        <v>493</v>
      </c>
      <c r="B30">
        <v>10325101</v>
      </c>
      <c r="C30" t="s">
        <v>77</v>
      </c>
      <c r="D30" t="s">
        <v>6</v>
      </c>
      <c r="E30" t="s">
        <v>121</v>
      </c>
      <c r="F30" s="9">
        <v>42872</v>
      </c>
      <c r="G30" s="9">
        <v>43176</v>
      </c>
      <c r="H30" t="s">
        <v>494</v>
      </c>
      <c r="I30" t="s">
        <v>107</v>
      </c>
      <c r="J30">
        <v>988338889</v>
      </c>
      <c r="K30" t="s">
        <v>495</v>
      </c>
      <c r="M30">
        <v>988338889</v>
      </c>
      <c r="N30" t="s">
        <v>114</v>
      </c>
    </row>
    <row r="31" spans="1:14" x14ac:dyDescent="0.25">
      <c r="A31" t="s">
        <v>496</v>
      </c>
      <c r="B31">
        <v>10288017</v>
      </c>
      <c r="C31" t="s">
        <v>77</v>
      </c>
      <c r="D31" t="s">
        <v>21</v>
      </c>
      <c r="E31" t="s">
        <v>110</v>
      </c>
      <c r="F31" s="9">
        <v>42872</v>
      </c>
      <c r="G31" s="9">
        <v>42968</v>
      </c>
      <c r="H31" t="s">
        <v>497</v>
      </c>
      <c r="I31" t="s">
        <v>107</v>
      </c>
      <c r="J31">
        <v>997895833</v>
      </c>
      <c r="K31" t="s">
        <v>498</v>
      </c>
      <c r="M31">
        <v>997895833</v>
      </c>
      <c r="N31" t="s">
        <v>114</v>
      </c>
    </row>
    <row r="32" spans="1:14" x14ac:dyDescent="0.25">
      <c r="A32" t="s">
        <v>499</v>
      </c>
      <c r="B32">
        <v>10221255</v>
      </c>
      <c r="C32" t="s">
        <v>77</v>
      </c>
      <c r="D32" t="s">
        <v>1</v>
      </c>
      <c r="E32" t="s">
        <v>83</v>
      </c>
      <c r="F32" s="9">
        <v>42872</v>
      </c>
      <c r="G32" s="9">
        <v>43056</v>
      </c>
      <c r="H32" t="s">
        <v>425</v>
      </c>
      <c r="I32" t="s">
        <v>107</v>
      </c>
      <c r="J32">
        <v>1104884000</v>
      </c>
      <c r="K32" t="s">
        <v>500</v>
      </c>
      <c r="M32">
        <v>1104884000</v>
      </c>
      <c r="N32" t="s">
        <v>115</v>
      </c>
    </row>
    <row r="33" spans="1:14" x14ac:dyDescent="0.25">
      <c r="A33" t="s">
        <v>501</v>
      </c>
      <c r="B33">
        <v>10115570</v>
      </c>
      <c r="C33" t="s">
        <v>77</v>
      </c>
      <c r="D33" t="s">
        <v>25</v>
      </c>
      <c r="E33" t="s">
        <v>89</v>
      </c>
      <c r="F33" s="9">
        <v>42872</v>
      </c>
      <c r="G33" s="9">
        <v>42986</v>
      </c>
      <c r="H33" t="s">
        <v>502</v>
      </c>
      <c r="I33" t="s">
        <v>107</v>
      </c>
      <c r="J33">
        <v>99508611</v>
      </c>
      <c r="K33" t="s">
        <v>503</v>
      </c>
      <c r="M33">
        <v>99508611</v>
      </c>
      <c r="N33" t="s">
        <v>114</v>
      </c>
    </row>
    <row r="34" spans="1:14" x14ac:dyDescent="0.25">
      <c r="A34" t="s">
        <v>504</v>
      </c>
      <c r="B34">
        <v>10268255</v>
      </c>
      <c r="C34" t="s">
        <v>77</v>
      </c>
      <c r="D34" t="s">
        <v>27</v>
      </c>
      <c r="E34" t="s">
        <v>82</v>
      </c>
      <c r="F34" s="9">
        <v>42872</v>
      </c>
      <c r="G34" s="9">
        <v>43025</v>
      </c>
      <c r="H34" t="s">
        <v>505</v>
      </c>
      <c r="I34" t="s">
        <v>107</v>
      </c>
      <c r="J34">
        <v>2782437778</v>
      </c>
      <c r="K34" t="s">
        <v>506</v>
      </c>
      <c r="M34">
        <v>2782437778</v>
      </c>
      <c r="N34" t="s">
        <v>114</v>
      </c>
    </row>
    <row r="35" spans="1:14" x14ac:dyDescent="0.25">
      <c r="A35" t="s">
        <v>507</v>
      </c>
      <c r="B35">
        <v>10334548</v>
      </c>
      <c r="C35" t="s">
        <v>77</v>
      </c>
      <c r="D35" t="s">
        <v>27</v>
      </c>
      <c r="E35" t="s">
        <v>82</v>
      </c>
      <c r="F35" s="9">
        <v>42872</v>
      </c>
      <c r="G35" s="9">
        <v>43011</v>
      </c>
      <c r="H35" t="s">
        <v>508</v>
      </c>
      <c r="I35" t="s">
        <v>107</v>
      </c>
      <c r="J35">
        <v>99634306</v>
      </c>
      <c r="K35" t="s">
        <v>509</v>
      </c>
      <c r="M35">
        <v>99634306</v>
      </c>
      <c r="N35" t="s">
        <v>114</v>
      </c>
    </row>
    <row r="36" spans="1:14" x14ac:dyDescent="0.25">
      <c r="A36" t="s">
        <v>510</v>
      </c>
      <c r="B36">
        <v>10402145</v>
      </c>
      <c r="C36" t="s">
        <v>77</v>
      </c>
      <c r="D36" t="s">
        <v>19</v>
      </c>
      <c r="E36" t="s">
        <v>84</v>
      </c>
      <c r="F36" s="9">
        <v>42872</v>
      </c>
      <c r="G36" s="9">
        <v>44698</v>
      </c>
      <c r="H36" t="s">
        <v>511</v>
      </c>
      <c r="I36" t="s">
        <v>107</v>
      </c>
      <c r="J36">
        <v>440000000</v>
      </c>
      <c r="K36" t="s">
        <v>512</v>
      </c>
      <c r="M36">
        <v>440000000</v>
      </c>
      <c r="N36" t="s">
        <v>114</v>
      </c>
    </row>
    <row r="37" spans="1:14" x14ac:dyDescent="0.25">
      <c r="A37" t="s">
        <v>513</v>
      </c>
      <c r="B37">
        <v>10345418</v>
      </c>
      <c r="C37" t="s">
        <v>77</v>
      </c>
      <c r="D37" t="s">
        <v>21</v>
      </c>
      <c r="E37" t="s">
        <v>110</v>
      </c>
      <c r="F37" s="9">
        <v>42872</v>
      </c>
      <c r="G37" s="9">
        <v>43007</v>
      </c>
      <c r="H37" t="s">
        <v>514</v>
      </c>
      <c r="I37" t="s">
        <v>107</v>
      </c>
      <c r="J37">
        <v>1096776389</v>
      </c>
      <c r="K37" t="s">
        <v>515</v>
      </c>
      <c r="M37">
        <v>1096776389</v>
      </c>
      <c r="N37" t="s">
        <v>114</v>
      </c>
    </row>
    <row r="38" spans="1:14" x14ac:dyDescent="0.25">
      <c r="A38" t="s">
        <v>516</v>
      </c>
      <c r="B38">
        <v>10351864</v>
      </c>
      <c r="C38" t="s">
        <v>146</v>
      </c>
      <c r="D38" t="s">
        <v>5</v>
      </c>
      <c r="E38" t="s">
        <v>140</v>
      </c>
      <c r="F38" s="9">
        <v>42872</v>
      </c>
      <c r="G38" s="9">
        <v>42920</v>
      </c>
      <c r="H38" t="s">
        <v>450</v>
      </c>
      <c r="I38" t="s">
        <v>451</v>
      </c>
      <c r="J38">
        <v>36000</v>
      </c>
      <c r="K38" t="s">
        <v>517</v>
      </c>
      <c r="M38">
        <v>816120000</v>
      </c>
      <c r="N38" t="s">
        <v>115</v>
      </c>
    </row>
    <row r="39" spans="1:14" x14ac:dyDescent="0.25">
      <c r="A39" t="s">
        <v>518</v>
      </c>
      <c r="B39">
        <v>10316884</v>
      </c>
      <c r="C39" t="s">
        <v>77</v>
      </c>
      <c r="D39" t="s">
        <v>14</v>
      </c>
      <c r="E39" t="s">
        <v>81</v>
      </c>
      <c r="F39" s="9">
        <v>42872</v>
      </c>
      <c r="G39" s="9">
        <v>42963</v>
      </c>
      <c r="H39" t="s">
        <v>519</v>
      </c>
      <c r="I39" t="s">
        <v>107</v>
      </c>
      <c r="J39">
        <v>497576500</v>
      </c>
      <c r="K39" t="s">
        <v>520</v>
      </c>
      <c r="M39">
        <v>497576500</v>
      </c>
      <c r="N39" t="s">
        <v>114</v>
      </c>
    </row>
    <row r="40" spans="1:14" x14ac:dyDescent="0.25">
      <c r="A40" t="s">
        <v>521</v>
      </c>
      <c r="B40">
        <v>10397589</v>
      </c>
      <c r="C40" t="s">
        <v>77</v>
      </c>
      <c r="D40" t="s">
        <v>1</v>
      </c>
      <c r="E40" t="s">
        <v>83</v>
      </c>
      <c r="F40" s="9">
        <v>42872</v>
      </c>
      <c r="G40" s="9">
        <v>50178</v>
      </c>
      <c r="H40" t="s">
        <v>522</v>
      </c>
      <c r="I40" t="s">
        <v>107</v>
      </c>
      <c r="J40">
        <v>700000000</v>
      </c>
      <c r="K40" t="s">
        <v>523</v>
      </c>
      <c r="M40">
        <v>700000000</v>
      </c>
      <c r="N40" t="s">
        <v>114</v>
      </c>
    </row>
    <row r="41" spans="1:14" x14ac:dyDescent="0.25">
      <c r="A41" t="s">
        <v>524</v>
      </c>
      <c r="B41">
        <v>10205215</v>
      </c>
      <c r="C41" t="s">
        <v>77</v>
      </c>
      <c r="D41" t="s">
        <v>2</v>
      </c>
      <c r="E41" t="s">
        <v>78</v>
      </c>
      <c r="F41" s="9">
        <v>42872</v>
      </c>
      <c r="G41" s="9">
        <v>42956</v>
      </c>
      <c r="H41" t="s">
        <v>525</v>
      </c>
      <c r="I41" t="s">
        <v>107</v>
      </c>
      <c r="J41">
        <v>198880833</v>
      </c>
      <c r="K41" t="s">
        <v>526</v>
      </c>
      <c r="M41">
        <v>198880833</v>
      </c>
      <c r="N41" t="s">
        <v>114</v>
      </c>
    </row>
    <row r="42" spans="1:14" x14ac:dyDescent="0.25">
      <c r="A42" t="s">
        <v>527</v>
      </c>
      <c r="B42">
        <v>10398187</v>
      </c>
      <c r="C42" t="s">
        <v>77</v>
      </c>
      <c r="D42" t="s">
        <v>11</v>
      </c>
      <c r="E42" t="s">
        <v>120</v>
      </c>
      <c r="F42" s="9">
        <v>42872</v>
      </c>
      <c r="G42" s="9">
        <v>50178</v>
      </c>
      <c r="H42" t="s">
        <v>528</v>
      </c>
      <c r="I42" t="s">
        <v>107</v>
      </c>
      <c r="J42">
        <v>840000000</v>
      </c>
      <c r="K42" t="s">
        <v>529</v>
      </c>
      <c r="M42">
        <v>840000000</v>
      </c>
      <c r="N42" t="s">
        <v>114</v>
      </c>
    </row>
    <row r="43" spans="1:14" x14ac:dyDescent="0.25">
      <c r="A43" t="s">
        <v>530</v>
      </c>
      <c r="B43">
        <v>10229155</v>
      </c>
      <c r="C43" t="s">
        <v>77</v>
      </c>
      <c r="D43" t="s">
        <v>10</v>
      </c>
      <c r="E43" t="s">
        <v>85</v>
      </c>
      <c r="F43" s="9">
        <v>42872</v>
      </c>
      <c r="G43" s="9">
        <v>43025</v>
      </c>
      <c r="H43" t="s">
        <v>531</v>
      </c>
      <c r="I43" t="s">
        <v>107</v>
      </c>
      <c r="J43">
        <v>298208750</v>
      </c>
      <c r="K43" t="s">
        <v>444</v>
      </c>
      <c r="M43">
        <v>298208750</v>
      </c>
      <c r="N43" t="s">
        <v>114</v>
      </c>
    </row>
    <row r="44" spans="1:14" x14ac:dyDescent="0.25">
      <c r="A44" t="s">
        <v>532</v>
      </c>
      <c r="B44">
        <v>10402273</v>
      </c>
      <c r="C44" t="s">
        <v>77</v>
      </c>
      <c r="D44" t="s">
        <v>8</v>
      </c>
      <c r="E44" t="s">
        <v>122</v>
      </c>
      <c r="F44" s="9">
        <v>42872</v>
      </c>
      <c r="G44" s="9">
        <v>44698</v>
      </c>
      <c r="H44" t="s">
        <v>533</v>
      </c>
      <c r="I44" t="s">
        <v>107</v>
      </c>
      <c r="J44">
        <v>660000000</v>
      </c>
      <c r="K44" t="s">
        <v>534</v>
      </c>
      <c r="M44">
        <v>660000000</v>
      </c>
      <c r="N44" t="s">
        <v>114</v>
      </c>
    </row>
    <row r="45" spans="1:14" x14ac:dyDescent="0.25">
      <c r="A45" t="s">
        <v>535</v>
      </c>
      <c r="B45">
        <v>10308348</v>
      </c>
      <c r="C45" t="s">
        <v>77</v>
      </c>
      <c r="D45" t="s">
        <v>10</v>
      </c>
      <c r="E45" t="s">
        <v>85</v>
      </c>
      <c r="F45" s="9">
        <v>42872</v>
      </c>
      <c r="G45" s="9">
        <v>43024</v>
      </c>
      <c r="H45" t="s">
        <v>536</v>
      </c>
      <c r="I45" t="s">
        <v>107</v>
      </c>
      <c r="J45">
        <v>257539168</v>
      </c>
      <c r="K45" t="s">
        <v>537</v>
      </c>
      <c r="M45">
        <v>257539168</v>
      </c>
      <c r="N45" t="s">
        <v>114</v>
      </c>
    </row>
    <row r="46" spans="1:14" x14ac:dyDescent="0.25">
      <c r="A46" t="s">
        <v>538</v>
      </c>
      <c r="B46">
        <v>10364677</v>
      </c>
      <c r="C46" t="s">
        <v>77</v>
      </c>
      <c r="D46" t="s">
        <v>18</v>
      </c>
      <c r="E46" t="s">
        <v>112</v>
      </c>
      <c r="F46" s="9">
        <v>42872</v>
      </c>
      <c r="G46" s="9">
        <v>45429</v>
      </c>
      <c r="H46" t="s">
        <v>539</v>
      </c>
      <c r="I46" t="s">
        <v>107</v>
      </c>
      <c r="J46">
        <v>100000000</v>
      </c>
      <c r="K46" t="s">
        <v>141</v>
      </c>
      <c r="M46">
        <v>100000000</v>
      </c>
      <c r="N46" t="s">
        <v>114</v>
      </c>
    </row>
    <row r="47" spans="1:14" x14ac:dyDescent="0.25">
      <c r="A47" t="s">
        <v>540</v>
      </c>
      <c r="B47">
        <v>10402584</v>
      </c>
      <c r="C47" t="s">
        <v>77</v>
      </c>
      <c r="D47" t="s">
        <v>26</v>
      </c>
      <c r="E47" t="s">
        <v>88</v>
      </c>
      <c r="F47" s="9">
        <v>42872</v>
      </c>
      <c r="G47" s="9">
        <v>42964</v>
      </c>
      <c r="H47" t="s">
        <v>541</v>
      </c>
      <c r="I47" t="s">
        <v>107</v>
      </c>
      <c r="J47">
        <v>200000000</v>
      </c>
      <c r="K47" t="s">
        <v>145</v>
      </c>
      <c r="M47">
        <v>200000000</v>
      </c>
      <c r="N47" t="s">
        <v>114</v>
      </c>
    </row>
    <row r="48" spans="1:14" x14ac:dyDescent="0.25">
      <c r="A48" t="s">
        <v>542</v>
      </c>
      <c r="B48">
        <v>10271092</v>
      </c>
      <c r="C48" t="s">
        <v>77</v>
      </c>
      <c r="D48" t="s">
        <v>20</v>
      </c>
      <c r="E48" t="s">
        <v>79</v>
      </c>
      <c r="F48" s="9">
        <v>42872</v>
      </c>
      <c r="G48" s="9">
        <v>43207</v>
      </c>
      <c r="H48" t="s">
        <v>543</v>
      </c>
      <c r="I48" t="s">
        <v>107</v>
      </c>
      <c r="J48">
        <v>692956250</v>
      </c>
      <c r="K48" t="s">
        <v>544</v>
      </c>
      <c r="M48">
        <v>692956250</v>
      </c>
      <c r="N48" t="s">
        <v>114</v>
      </c>
    </row>
    <row r="49" spans="1:14" x14ac:dyDescent="0.25">
      <c r="A49" t="s">
        <v>545</v>
      </c>
      <c r="B49">
        <v>10394938</v>
      </c>
      <c r="C49" t="s">
        <v>77</v>
      </c>
      <c r="D49" t="s">
        <v>5</v>
      </c>
      <c r="E49" t="s">
        <v>140</v>
      </c>
      <c r="F49" s="9">
        <v>42872</v>
      </c>
      <c r="G49" s="9">
        <v>43025</v>
      </c>
      <c r="H49" t="s">
        <v>546</v>
      </c>
      <c r="I49" t="s">
        <v>107</v>
      </c>
      <c r="J49">
        <v>4000000000</v>
      </c>
      <c r="K49" t="s">
        <v>150</v>
      </c>
      <c r="M49">
        <v>4000000000</v>
      </c>
      <c r="N49" t="s">
        <v>115</v>
      </c>
    </row>
    <row r="50" spans="1:14" x14ac:dyDescent="0.25">
      <c r="A50" t="s">
        <v>547</v>
      </c>
      <c r="B50">
        <v>10349230</v>
      </c>
      <c r="C50" t="s">
        <v>77</v>
      </c>
      <c r="D50" t="s">
        <v>2</v>
      </c>
      <c r="E50" t="s">
        <v>78</v>
      </c>
      <c r="F50" s="9">
        <v>42872</v>
      </c>
      <c r="G50" s="9">
        <v>42898</v>
      </c>
      <c r="H50" t="s">
        <v>548</v>
      </c>
      <c r="I50" t="s">
        <v>107</v>
      </c>
      <c r="J50">
        <v>20000000</v>
      </c>
      <c r="K50" t="s">
        <v>549</v>
      </c>
      <c r="M50">
        <v>20000000</v>
      </c>
      <c r="N50" t="s">
        <v>114</v>
      </c>
    </row>
    <row r="51" spans="1:14" x14ac:dyDescent="0.25">
      <c r="A51" t="s">
        <v>550</v>
      </c>
      <c r="B51">
        <v>10288017</v>
      </c>
      <c r="C51" t="s">
        <v>77</v>
      </c>
      <c r="D51" t="s">
        <v>21</v>
      </c>
      <c r="E51" t="s">
        <v>110</v>
      </c>
      <c r="F51" s="9">
        <v>42872</v>
      </c>
      <c r="G51" s="9">
        <v>42968</v>
      </c>
      <c r="H51" t="s">
        <v>551</v>
      </c>
      <c r="I51" t="s">
        <v>107</v>
      </c>
      <c r="J51">
        <v>1297264583</v>
      </c>
      <c r="K51" t="s">
        <v>552</v>
      </c>
      <c r="M51">
        <v>1297264583</v>
      </c>
      <c r="N51" t="s">
        <v>114</v>
      </c>
    </row>
    <row r="52" spans="1:14" x14ac:dyDescent="0.25">
      <c r="A52" t="s">
        <v>553</v>
      </c>
      <c r="B52">
        <v>10320113</v>
      </c>
      <c r="C52" t="s">
        <v>77</v>
      </c>
      <c r="D52" t="s">
        <v>29</v>
      </c>
      <c r="E52" t="s">
        <v>119</v>
      </c>
      <c r="F52" s="9">
        <v>42872</v>
      </c>
      <c r="G52" s="9">
        <v>43056</v>
      </c>
      <c r="H52" t="s">
        <v>554</v>
      </c>
      <c r="I52" t="s">
        <v>107</v>
      </c>
      <c r="J52">
        <v>237500000</v>
      </c>
      <c r="K52" t="s">
        <v>125</v>
      </c>
      <c r="M52">
        <v>237500000</v>
      </c>
      <c r="N52" t="s">
        <v>115</v>
      </c>
    </row>
    <row r="53" spans="1:14" x14ac:dyDescent="0.25">
      <c r="A53" t="s">
        <v>555</v>
      </c>
      <c r="B53">
        <v>10325101</v>
      </c>
      <c r="C53" t="s">
        <v>77</v>
      </c>
      <c r="D53" t="s">
        <v>6</v>
      </c>
      <c r="E53" t="s">
        <v>121</v>
      </c>
      <c r="F53" s="9">
        <v>42872</v>
      </c>
      <c r="G53" s="9">
        <v>42964</v>
      </c>
      <c r="H53" t="s">
        <v>556</v>
      </c>
      <c r="I53" t="s">
        <v>107</v>
      </c>
      <c r="J53">
        <v>2978466667</v>
      </c>
      <c r="K53" t="s">
        <v>557</v>
      </c>
      <c r="M53">
        <v>2978466667</v>
      </c>
      <c r="N53" t="s">
        <v>114</v>
      </c>
    </row>
    <row r="54" spans="1:14" x14ac:dyDescent="0.25">
      <c r="A54" t="s">
        <v>558</v>
      </c>
      <c r="B54">
        <v>10400884</v>
      </c>
      <c r="C54" t="s">
        <v>77</v>
      </c>
      <c r="D54" t="s">
        <v>28</v>
      </c>
      <c r="E54" t="s">
        <v>86</v>
      </c>
      <c r="F54" s="9">
        <v>42872</v>
      </c>
      <c r="G54" s="9">
        <v>45429</v>
      </c>
      <c r="H54" t="s">
        <v>559</v>
      </c>
      <c r="I54" t="s">
        <v>107</v>
      </c>
      <c r="J54">
        <v>450000000</v>
      </c>
      <c r="K54" t="s">
        <v>144</v>
      </c>
      <c r="M54">
        <v>450000000</v>
      </c>
      <c r="N54" t="s">
        <v>114</v>
      </c>
    </row>
    <row r="55" spans="1:14" x14ac:dyDescent="0.25">
      <c r="A55" t="s">
        <v>560</v>
      </c>
      <c r="B55">
        <v>10361774</v>
      </c>
      <c r="C55" t="s">
        <v>77</v>
      </c>
      <c r="D55" t="s">
        <v>25</v>
      </c>
      <c r="E55" t="s">
        <v>89</v>
      </c>
      <c r="F55" s="9">
        <v>42872</v>
      </c>
      <c r="G55" s="9">
        <v>43034</v>
      </c>
      <c r="H55" t="s">
        <v>561</v>
      </c>
      <c r="I55" t="s">
        <v>107</v>
      </c>
      <c r="J55">
        <v>700000000</v>
      </c>
      <c r="K55" t="s">
        <v>523</v>
      </c>
      <c r="M55">
        <v>700000000</v>
      </c>
      <c r="N55" t="s">
        <v>114</v>
      </c>
    </row>
    <row r="56" spans="1:14" x14ac:dyDescent="0.25">
      <c r="A56" t="s">
        <v>562</v>
      </c>
      <c r="B56">
        <v>10265776</v>
      </c>
      <c r="C56" t="s">
        <v>77</v>
      </c>
      <c r="D56" t="s">
        <v>11</v>
      </c>
      <c r="E56" t="s">
        <v>120</v>
      </c>
      <c r="F56" s="9">
        <v>42872</v>
      </c>
      <c r="G56" s="9">
        <v>42934</v>
      </c>
      <c r="H56" t="s">
        <v>563</v>
      </c>
      <c r="I56" t="s">
        <v>107</v>
      </c>
      <c r="J56">
        <v>1227736458</v>
      </c>
      <c r="K56" t="s">
        <v>564</v>
      </c>
      <c r="M56">
        <v>1227736458</v>
      </c>
      <c r="N56" t="s">
        <v>114</v>
      </c>
    </row>
    <row r="57" spans="1:14" x14ac:dyDescent="0.25">
      <c r="A57" t="s">
        <v>565</v>
      </c>
      <c r="B57">
        <v>10265776</v>
      </c>
      <c r="C57" t="s">
        <v>77</v>
      </c>
      <c r="D57" t="s">
        <v>11</v>
      </c>
      <c r="E57" t="s">
        <v>120</v>
      </c>
      <c r="F57" s="9">
        <v>42872</v>
      </c>
      <c r="G57" s="9">
        <v>42933</v>
      </c>
      <c r="H57" t="s">
        <v>566</v>
      </c>
      <c r="I57" t="s">
        <v>107</v>
      </c>
      <c r="J57">
        <v>992520833</v>
      </c>
      <c r="K57" t="s">
        <v>567</v>
      </c>
      <c r="M57">
        <v>992520833</v>
      </c>
      <c r="N57" t="s">
        <v>114</v>
      </c>
    </row>
    <row r="58" spans="1:14" x14ac:dyDescent="0.25">
      <c r="A58" t="s">
        <v>568</v>
      </c>
      <c r="B58">
        <v>10165207</v>
      </c>
      <c r="C58" t="s">
        <v>77</v>
      </c>
      <c r="D58" t="s">
        <v>3</v>
      </c>
      <c r="E58" t="s">
        <v>80</v>
      </c>
      <c r="F58" s="9">
        <v>42872</v>
      </c>
      <c r="G58" s="9">
        <v>43148</v>
      </c>
      <c r="H58" t="s">
        <v>569</v>
      </c>
      <c r="I58" t="s">
        <v>107</v>
      </c>
      <c r="J58">
        <v>100000000</v>
      </c>
      <c r="K58" t="s">
        <v>141</v>
      </c>
      <c r="M58">
        <v>100000000</v>
      </c>
      <c r="N58" t="s">
        <v>114</v>
      </c>
    </row>
    <row r="59" spans="1:14" x14ac:dyDescent="0.25">
      <c r="A59" t="s">
        <v>570</v>
      </c>
      <c r="B59">
        <v>10115570</v>
      </c>
      <c r="C59" t="s">
        <v>77</v>
      </c>
      <c r="D59" t="s">
        <v>25</v>
      </c>
      <c r="E59" t="s">
        <v>89</v>
      </c>
      <c r="F59" s="9">
        <v>42872</v>
      </c>
      <c r="G59" s="9">
        <v>43025</v>
      </c>
      <c r="H59" t="s">
        <v>571</v>
      </c>
      <c r="I59" t="s">
        <v>107</v>
      </c>
      <c r="J59">
        <v>29822167</v>
      </c>
      <c r="K59" t="s">
        <v>572</v>
      </c>
      <c r="M59">
        <v>29822167</v>
      </c>
      <c r="N59" t="s">
        <v>114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2"/>
  <sheetViews>
    <sheetView tabSelected="1" workbookViewId="0">
      <selection activeCell="E16" sqref="E16"/>
    </sheetView>
  </sheetViews>
  <sheetFormatPr defaultRowHeight="15" x14ac:dyDescent="0.25"/>
  <cols>
    <col min="1" max="1" width="11" customWidth="1"/>
    <col min="2" max="2" width="10.7109375" bestFit="1" customWidth="1"/>
    <col min="4" max="4" width="12.5703125" bestFit="1" customWidth="1"/>
    <col min="5" max="5" width="18.28515625" bestFit="1" customWidth="1"/>
  </cols>
  <sheetData>
    <row r="1" spans="1:2" x14ac:dyDescent="0.25">
      <c r="A1" t="s">
        <v>106</v>
      </c>
      <c r="B1" t="s">
        <v>106</v>
      </c>
    </row>
    <row r="2" spans="1:2" x14ac:dyDescent="0.25">
      <c r="A2" s="16" t="s">
        <v>153</v>
      </c>
      <c r="B2" s="16" t="s">
        <v>153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38100</xdr:colOff>
                <xdr:row>0</xdr:row>
                <xdr:rowOff>0</xdr:rowOff>
              </from>
              <to>
                <xdr:col>9</xdr:col>
                <xdr:colOff>247650</xdr:colOff>
                <xdr:row>2</xdr:row>
                <xdr:rowOff>180975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2</xdr:col>
                <xdr:colOff>590550</xdr:colOff>
                <xdr:row>0</xdr:row>
                <xdr:rowOff>19050</xdr:rowOff>
              </from>
              <to>
                <xdr:col>5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4098" r:id="rId5" name="CommandButton2"/>
      </mc:Fallback>
    </mc:AlternateContent>
  </controls>
  <tableParts count="2"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B3" sqref="A3:B3"/>
    </sheetView>
  </sheetViews>
  <sheetFormatPr defaultRowHeight="15" x14ac:dyDescent="0.25"/>
  <cols>
    <col min="1" max="1" width="29.85546875" customWidth="1"/>
    <col min="2" max="2" width="38.7109375" customWidth="1"/>
    <col min="3" max="3" width="30" bestFit="1" customWidth="1"/>
    <col min="5" max="5" width="74.140625" customWidth="1"/>
    <col min="6" max="6" width="38" customWidth="1"/>
    <col min="7" max="7" width="19.140625" customWidth="1"/>
  </cols>
  <sheetData>
    <row r="1" spans="1:7" ht="17.25" x14ac:dyDescent="0.25">
      <c r="A1" s="23" t="s">
        <v>127</v>
      </c>
      <c r="B1" t="s">
        <v>128</v>
      </c>
      <c r="C1" t="s">
        <v>129</v>
      </c>
      <c r="D1" t="s">
        <v>130</v>
      </c>
      <c r="E1" t="s">
        <v>131</v>
      </c>
      <c r="F1" t="s">
        <v>132</v>
      </c>
      <c r="G1" t="s">
        <v>133</v>
      </c>
    </row>
    <row r="2" spans="1:7" s="23" customFormat="1" ht="66" x14ac:dyDescent="0.25">
      <c r="A2" s="23" t="s">
        <v>134</v>
      </c>
      <c r="B2" s="23" t="str">
        <f>CONCATENATE("Báo cáo Huy động, Giải ngân mới theo ngày cho HCM ngày " &amp; TEXT(Table2[Date],"yyyy/mm/dd"))</f>
        <v>Báo cáo Huy động, Giải ngân mới theo ngày cho HCM ngày 2017/05/17</v>
      </c>
      <c r="C2" s="23" t="s">
        <v>134</v>
      </c>
      <c r="E2" s="23" t="str">
        <f>CONCATENATE(" &lt;p style=""font-family:Palatino Linotype;color:#033a78""&gt; Kính gửi anh Phong, &lt;/p&gt;
&lt;p style=""font-family:Palatino Linotype;color:#033a78""&gt; Em gửi anh số liệu về giải ngân mới và huy động ngày " &amp; TEXT(Table2[Date], "dd/mm/yyyy") &amp; " cho vùng HCM. &lt;/p&gt; &lt;br&gt; ")</f>
        <v xml:space="preserve"> &lt;p style="font-family:Palatino Linotype;color:#033a78"&gt; Kính gửi anh Phong, &lt;/p&gt;
&lt;p style="font-family:Palatino Linotype;color:#033a78"&gt; Em gửi anh số liệu về giải ngân mới và huy động ngày 17/05/2017 cho vùng HCM. &lt;/p&gt; &lt;br&gt; </v>
      </c>
      <c r="F2" s="23" t="str">
        <f xml:space="preserve"> CONCATENATE("D:\PVCB\Loan - Deposit new\Huy dong - Giai ngan moi theo ngay - " &amp; TEXT(Table2[Date],"yyyymmdd") &amp; ".xlsx")</f>
        <v>D:\PVCB\Loan - Deposit new\Huy dong - Giai ngan moi theo ngay - 20170517.xlsx</v>
      </c>
      <c r="G2" s="23" t="s">
        <v>135</v>
      </c>
    </row>
    <row r="3" spans="1:7" s="23" customFormat="1" ht="49.5" x14ac:dyDescent="0.25">
      <c r="E3" s="23" t="s">
        <v>136</v>
      </c>
    </row>
    <row r="4" spans="1:7" s="23" customFormat="1" ht="16.5" x14ac:dyDescent="0.25">
      <c r="E4" s="23" t="s">
        <v>135</v>
      </c>
    </row>
  </sheetData>
  <hyperlinks>
    <hyperlink ref="A2" r:id="rId1"/>
    <hyperlink ref="C2" r:id="rId2"/>
  </hyperlinks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6CA4288D-1145-400D-87A3-491F5A0ABD37}">
  <ds:schemaRefs/>
</ds:datastoreItem>
</file>

<file path=customXml/itemProps2.xml><?xml version="1.0" encoding="utf-8"?>
<ds:datastoreItem xmlns:ds="http://schemas.openxmlformats.org/officeDocument/2006/customXml" ds:itemID="{BF0C59BB-255B-4CCA-A0CE-F18BA0F2FA02}">
  <ds:schemaRefs/>
</ds:datastoreItem>
</file>

<file path=customXml/itemProps3.xml><?xml version="1.0" encoding="utf-8"?>
<ds:datastoreItem xmlns:ds="http://schemas.openxmlformats.org/officeDocument/2006/customXml" ds:itemID="{DA092C85-15FF-43F3-A73B-C3A8D8284610}">
  <ds:schemaRefs/>
</ds:datastoreItem>
</file>

<file path=customXml/itemProps4.xml><?xml version="1.0" encoding="utf-8"?>
<ds:datastoreItem xmlns:ds="http://schemas.openxmlformats.org/officeDocument/2006/customXml" ds:itemID="{564E357D-69D5-4752-B09A-FF00A7BE5B23}">
  <ds:schemaRefs/>
</ds:datastoreItem>
</file>

<file path=customXml/itemProps5.xml><?xml version="1.0" encoding="utf-8"?>
<ds:datastoreItem xmlns:ds="http://schemas.openxmlformats.org/officeDocument/2006/customXml" ds:itemID="{6FDE0755-8E85-4B7C-BC21-514939F2946B}">
  <ds:schemaRefs/>
</ds:datastoreItem>
</file>

<file path=customXml/itemProps6.xml><?xml version="1.0" encoding="utf-8"?>
<ds:datastoreItem xmlns:ds="http://schemas.openxmlformats.org/officeDocument/2006/customXml" ds:itemID="{9EC04AD0-C70D-453C-999A-E97F1D5E9ADB}">
  <ds:schemaRefs/>
</ds:datastoreItem>
</file>

<file path=customXml/itemProps7.xml><?xml version="1.0" encoding="utf-8"?>
<ds:datastoreItem xmlns:ds="http://schemas.openxmlformats.org/officeDocument/2006/customXml" ds:itemID="{4A1E267A-DB0B-4D13-8AF8-3C2325DD84B3}">
  <ds:schemaRefs/>
</ds:datastoreItem>
</file>

<file path=customXml/itemProps8.xml><?xml version="1.0" encoding="utf-8"?>
<ds:datastoreItem xmlns:ds="http://schemas.openxmlformats.org/officeDocument/2006/customXml" ds:itemID="{31C40FBC-6BC6-4B40-A68C-21D478961AA4}">
  <ds:schemaRefs/>
</ds:datastoreItem>
</file>

<file path=customXml/itemProps9.xml><?xml version="1.0" encoding="utf-8"?>
<ds:datastoreItem xmlns:ds="http://schemas.openxmlformats.org/officeDocument/2006/customXml" ds:itemID="{A90D753E-1C2C-4392-BE5F-9DC0488CB17B}">
  <ds:schemaRefs/>
</ds:datastoreItem>
</file>

<file path=customXml/itemProps10.xml><?xml version="1.0" encoding="utf-8"?>
<ds:datastoreItem xmlns:ds="http://schemas.openxmlformats.org/officeDocument/2006/customXml" ds:itemID="{4D8DD067-2397-400D-8C96-4D96B16F5B82}">
  <ds:schemaRefs/>
</ds:datastoreItem>
</file>

<file path=customXml/itemProps11.xml><?xml version="1.0" encoding="utf-8"?>
<ds:datastoreItem xmlns:ds="http://schemas.openxmlformats.org/officeDocument/2006/customXml" ds:itemID="{4B80FFA5-F9A8-4211-A535-BF987AB66593}">
  <ds:schemaRefs/>
</ds:datastoreItem>
</file>

<file path=customXml/itemProps12.xml><?xml version="1.0" encoding="utf-8"?>
<ds:datastoreItem xmlns:ds="http://schemas.openxmlformats.org/officeDocument/2006/customXml" ds:itemID="{0BC56B4F-859C-48F1-8DFD-475E6AF8B6D5}">
  <ds:schemaRefs/>
</ds:datastoreItem>
</file>

<file path=customXml/itemProps13.xml><?xml version="1.0" encoding="utf-8"?>
<ds:datastoreItem xmlns:ds="http://schemas.openxmlformats.org/officeDocument/2006/customXml" ds:itemID="{A2BC5E3C-8D01-4446-9F6D-FBE5A07945E0}">
  <ds:schemaRefs/>
</ds:datastoreItem>
</file>

<file path=customXml/itemProps14.xml><?xml version="1.0" encoding="utf-8"?>
<ds:datastoreItem xmlns:ds="http://schemas.openxmlformats.org/officeDocument/2006/customXml" ds:itemID="{C1D40C4C-7397-4963-8EC9-AB6E19DBE4B3}">
  <ds:schemaRefs/>
</ds:datastoreItem>
</file>

<file path=customXml/itemProps15.xml><?xml version="1.0" encoding="utf-8"?>
<ds:datastoreItem xmlns:ds="http://schemas.openxmlformats.org/officeDocument/2006/customXml" ds:itemID="{A88B5BE4-458E-4D73-89C9-82FECEDFFC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Deposit</vt:lpstr>
      <vt:lpstr>Loan</vt:lpstr>
      <vt:lpstr>Date</vt:lpstr>
      <vt:lpstr>Variable</vt:lpstr>
      <vt:lpstr>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2017-04-12T08:52:24Z</dcterms:created>
  <dcterms:modified xsi:type="dcterms:W3CDTF">2017-05-19T02:49:44Z</dcterms:modified>
</cp:coreProperties>
</file>