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ongNV\Code\VBA\"/>
    </mc:Choice>
  </mc:AlternateContent>
  <bookViews>
    <workbookView xWindow="360" yWindow="11400" windowWidth="9975" windowHeight="2595" tabRatio="617"/>
  </bookViews>
  <sheets>
    <sheet name="Report" sheetId="1" r:id="rId1"/>
    <sheet name="data" sheetId="3" r:id="rId2"/>
    <sheet name="raw" sheetId="5" r:id="rId3"/>
    <sheet name="form" sheetId="7" r:id="rId4"/>
  </sheets>
  <functionGroups builtInGroupCount="18"/>
  <definedNames>
    <definedName name="_xlnm._FilterDatabase" localSheetId="0" hidden="1">Report!$A$3:$S$14</definedName>
  </definedNames>
  <calcPr calcId="152511"/>
</workbook>
</file>

<file path=xl/calcChain.xml><?xml version="1.0" encoding="utf-8"?>
<calcChain xmlns="http://schemas.openxmlformats.org/spreadsheetml/2006/main">
  <c r="H4" i="1" l="1"/>
  <c r="N4" i="1" l="1"/>
  <c r="Q4" i="1" s="1"/>
  <c r="R4" i="1" l="1"/>
</calcChain>
</file>

<file path=xl/comments1.xml><?xml version="1.0" encoding="utf-8"?>
<comments xmlns="http://schemas.openxmlformats.org/spreadsheetml/2006/main">
  <authors>
    <author>admin</author>
  </authors>
  <commentList>
    <comment ref="A22" authorId="0" shapeId="0">
      <text>
        <r>
          <rPr>
            <sz val="9"/>
            <color indexed="81"/>
            <rFont val="Tahoma"/>
            <family val="2"/>
          </rPr>
          <t>Cat lives here</t>
        </r>
      </text>
    </comment>
  </commentList>
</comments>
</file>

<file path=xl/sharedStrings.xml><?xml version="1.0" encoding="utf-8"?>
<sst xmlns="http://schemas.openxmlformats.org/spreadsheetml/2006/main" count="200" uniqueCount="150">
  <si>
    <t>stt</t>
  </si>
  <si>
    <t xml:space="preserve">Chi nhánh </t>
  </si>
  <si>
    <t>Họ tên KH</t>
  </si>
  <si>
    <t>Số dư hiện tại</t>
  </si>
  <si>
    <t xml:space="preserve">Số tiền gửi </t>
  </si>
  <si>
    <t>Ngày gửi TK</t>
  </si>
  <si>
    <t xml:space="preserve">sản phẩm </t>
  </si>
  <si>
    <t xml:space="preserve">Lãi suất niên yết </t>
  </si>
  <si>
    <t xml:space="preserve">Lãi suất trên sổ </t>
  </si>
  <si>
    <t>Biên độ công (GĐ PTKD phê duyệt tăng thêm)</t>
  </si>
  <si>
    <t xml:space="preserve">Biên độ tối đa theo thông báo của khối KHCN ban hành </t>
  </si>
  <si>
    <t>Cif</t>
  </si>
  <si>
    <t xml:space="preserve">Tỷ lệ biên margin tính Lợi nhuận </t>
  </si>
  <si>
    <t>FTP</t>
  </si>
  <si>
    <t xml:space="preserve">Chênh lệch vượt thông báo của khối </t>
  </si>
  <si>
    <t xml:space="preserve">Ngày đáo hạn </t>
  </si>
  <si>
    <t xml:space="preserve">Loại tiền </t>
  </si>
  <si>
    <t>Ghi chú</t>
  </si>
  <si>
    <t>VNĐ</t>
  </si>
  <si>
    <t>kỳ hạn (tháng)</t>
  </si>
  <si>
    <t>DANH SÁCH KHÁCH HÀNG GỬI TIỀN TIẾT KIỆM VỚI BIÊN ĐỘ CÔNG THÊM DO GIÁM ĐỐC PTKD ĐỊA BÀN HCM PHÊ DUYỆT TỪ 1-6-2017 ĐẾN 30/6/2017</t>
  </si>
  <si>
    <t>Đào Thị Thùy Linh</t>
  </si>
  <si>
    <t xml:space="preserve">Gia Định </t>
  </si>
  <si>
    <t>TG ĐKTLT</t>
  </si>
  <si>
    <t xml:space="preserve">Khánh Hội </t>
  </si>
  <si>
    <t xml:space="preserve">Tân Sơn Nhì </t>
  </si>
  <si>
    <t xml:space="preserve">Tô Hiến Thành </t>
  </si>
  <si>
    <t xml:space="preserve">Thành Thái </t>
  </si>
  <si>
    <t>1. Thông tin Khách hàng</t>
  </si>
  <si>
    <t>3. Lãi suất</t>
  </si>
  <si>
    <t>LS niêm yết</t>
  </si>
  <si>
    <t>Biên độ</t>
  </si>
  <si>
    <t>LS trên sổ</t>
  </si>
  <si>
    <t>4. Lợi nhuận</t>
  </si>
  <si>
    <t>Lợi nhuận</t>
  </si>
  <si>
    <t>5. Lý do đề xuất</t>
  </si>
  <si>
    <t xml:space="preserve">Tổng cộng </t>
  </si>
  <si>
    <t>Margin</t>
  </si>
  <si>
    <t>ĐỒNG</t>
  </si>
  <si>
    <t xml:space="preserve"> TỶ</t>
  </si>
  <si>
    <t>GỬI MỚI</t>
  </si>
  <si>
    <t>TRÊN</t>
  </si>
  <si>
    <t xml:space="preserve">                             </t>
  </si>
  <si>
    <t>Loại KH:</t>
  </si>
  <si>
    <t>Kỳ hạn:</t>
  </si>
  <si>
    <t>Biên độ tối đa</t>
  </si>
  <si>
    <t>Họ tên</t>
  </si>
  <si>
    <t>Sản phẩm</t>
  </si>
  <si>
    <t>Số tiền gửi</t>
  </si>
  <si>
    <t>Ngày gửi</t>
  </si>
  <si>
    <t>2. Thông tin Sổ tiết kiệm</t>
  </si>
  <si>
    <t>Kỳ lĩnh lãi</t>
  </si>
  <si>
    <t>LS tối đa</t>
  </si>
  <si>
    <t>% -</t>
  </si>
  <si>
    <t>Kính trình Anh phê duyệt!</t>
  </si>
  <si>
    <t>PVcomBank …………………... kính trình Giám đốc PTKD Khu Vực TP.HCM phê duyệt lãi suất áp dụng cho Khách hàng như sau:</t>
  </si>
  <si>
    <t>Loại KH: ……………………………</t>
  </si>
  <si>
    <t>Số tiền gửi:……………………………………………………(đồng)</t>
  </si>
  <si>
    <t>Kỳ lĩnh lãi: ………………………………………..</t>
  </si>
  <si>
    <t>Kỳ hạn:……………………………………………</t>
  </si>
  <si>
    <t>Số dư hiện tại: ………………………(đồng)</t>
  </si>
  <si>
    <t>Giao dịch tại PVB: ………………………………………………</t>
  </si>
  <si>
    <t>Họ tên:…………………………………………………………...
CIF:………………………………………………………………</t>
  </si>
  <si>
    <t>Sản phẩm:………………………………………………………..</t>
  </si>
  <si>
    <t>Ngày gửi: ………………………………………………………..</t>
  </si>
  <si>
    <t>Kính gửi: Anh Phạm Nguyễn Thế Phong –  Giám đốc PTKD Khu Vực ………………………………………..</t>
  </si>
  <si>
    <t>Biên độ tối đa ​quy định</t>
  </si>
  <si>
    <t>5.1. ……………………………………..</t>
  </si>
  <si>
    <t>5.2. ……………………………………..</t>
  </si>
  <si>
    <t>5.3. ……………………………………..</t>
  </si>
  <si>
    <t>Giao dịch tại PVB: 3 năm</t>
  </si>
  <si>
    <t>Loại KH: Cũ</t>
  </si>
  <si>
    <t>Kính gửi: Anh Phạm Nguyễn Thế Phong –  Giám đốc PTKD Khu Vực Địa bàn HCM</t>
  </si>
  <si>
    <t>Kỳ lĩnh lãi: hàng tháng</t>
  </si>
  <si>
    <r>
      <t xml:space="preserve">Loại KH: </t>
    </r>
    <r>
      <rPr>
        <sz val="11"/>
        <color rgb="FFFF0000"/>
        <rFont val="Times New Roman"/>
        <family val="1"/>
      </rPr>
      <t>Cũ</t>
    </r>
  </si>
  <si>
    <r>
      <t xml:space="preserve">2. Thông tin Sổ tiết kiệm: </t>
    </r>
    <r>
      <rPr>
        <b/>
        <sz val="11"/>
        <color rgb="FFFF0000"/>
        <rFont val="Times New Roman"/>
        <family val="1"/>
      </rPr>
      <t xml:space="preserve">gửi mới </t>
    </r>
  </si>
  <si>
    <r>
      <t xml:space="preserve">Kỳ lĩnh lãi: </t>
    </r>
    <r>
      <rPr>
        <sz val="11"/>
        <color rgb="FFFF0000"/>
        <rFont val="Times New Roman"/>
        <family val="1"/>
      </rPr>
      <t>hàng tháng</t>
    </r>
  </si>
  <si>
    <r>
      <t xml:space="preserve">Kỳ hạn: </t>
    </r>
    <r>
      <rPr>
        <sz val="11"/>
        <color rgb="FFFF0000"/>
        <rFont val="Times New Roman"/>
        <family val="1"/>
      </rPr>
      <t>6 tháng</t>
    </r>
  </si>
  <si>
    <t>                                  5.687.500</t>
  </si>
  <si>
    <t>5.1. Lý do đề xuất: KH giao dịch thân thiết với CN Thị Nghè, có số dư tiền gửi ổn định.</t>
  </si>
  <si>
    <t>5.2. Quan hệ: Có quan hệ rất tốt với đơn vị.</t>
  </si>
  <si>
    <t>5.3. Phối hợp: KH không giao dịch tại CN nào khác. </t>
  </si>
  <si>
    <t>Kính trình Anh phê duyệt!​</t>
  </si>
  <si>
    <t>Biên độ tối đa ​quy định</t>
  </si>
  <si>
    <t>Kính gửi: Anh Phạm Nguyễn Thế Phong – Giám đốc PTKD Khu Vực Địa bàn HCM</t>
  </si>
  <si>
    <t>Nguyễn Tuấn Anh</t>
  </si>
  <si>
    <t>…Tiền gửi ĐK TLT 13 tháng</t>
  </si>
  <si>
    <t xml:space="preserve"> Tiền gửi ĐK TLT 13 tháng</t>
  </si>
  <si>
    <t>Giao dịch tại PVB</t>
  </si>
  <si>
    <t xml:space="preserve">Trung Tâm Bán HCM </t>
  </si>
  <si>
    <t>Lê Huỳnh Anh</t>
  </si>
  <si>
    <t xml:space="preserve"> Tiền gửi Đại Chúng</t>
  </si>
  <si>
    <t>La Văn Trung</t>
  </si>
  <si>
    <t xml:space="preserve"> Tiền gửi ĐK TLT</t>
  </si>
  <si>
    <t>Lê Thị Thanh Phương</t>
  </si>
  <si>
    <t xml:space="preserve"> ĐKTLT</t>
  </si>
  <si>
    <t>Nguyễn Thị Kim Ngân</t>
  </si>
  <si>
    <t xml:space="preserve">Thị Nghè </t>
  </si>
  <si>
    <t>Phạm Hồng Phong</t>
  </si>
  <si>
    <t>​​10256482</t>
  </si>
  <si>
    <t>VND</t>
  </si>
  <si>
    <r>
      <t xml:space="preserve">Ngày gửi: </t>
    </r>
    <r>
      <rPr>
        <sz val="11"/>
        <color rgb="FFFF0000"/>
        <rFont val="Times New Roman"/>
        <family val="1"/>
      </rPr>
      <t>08/08/2017</t>
    </r>
  </si>
  <si>
    <r>
      <t>Biên độ tối đa </t>
    </r>
    <r>
      <rPr>
        <b/>
        <i/>
        <sz val="11"/>
        <color rgb="FF000000"/>
        <rFont val="Cambria Math"/>
        <family val="1"/>
      </rPr>
      <t>​</t>
    </r>
    <r>
      <rPr>
        <b/>
        <i/>
        <sz val="11"/>
        <color rgb="FF000000"/>
        <rFont val="Times New Roman"/>
        <family val="1"/>
      </rPr>
      <t>quy định</t>
    </r>
  </si>
  <si>
    <t>5.3. Phối hợp: Các CN đã thỏa thuận mức lãi suất chăm sóc khách hàng.</t>
  </si>
  <si>
    <r>
      <t xml:space="preserve">PVcomBank </t>
    </r>
    <r>
      <rPr>
        <sz val="11"/>
        <color rgb="FFFF0000"/>
        <rFont val="Times New Roman"/>
        <family val="1"/>
      </rPr>
      <t>Chi nhánh Bình Chánh</t>
    </r>
    <r>
      <rPr>
        <sz val="11"/>
        <color rgb="FF000000"/>
        <rFont val="Times New Roman"/>
        <family val="1"/>
      </rPr>
      <t> kính trình Giám đốc PTKD Khu Vực TP.HCM phê duyệt lãi suất áp dụng cho Khách hàng như sau:</t>
    </r>
  </si>
  <si>
    <r>
      <t xml:space="preserve">Họ tên : </t>
    </r>
    <r>
      <rPr>
        <sz val="11"/>
        <color rgb="FFFF0000"/>
        <rFont val="Times New Roman"/>
        <family val="1"/>
      </rPr>
      <t>Nguyễn Thị Mỹ Châu</t>
    </r>
  </si>
  <si>
    <t>CIF : 10419147</t>
  </si>
  <si>
    <r>
      <t>Giao dịch tại PVB:</t>
    </r>
    <r>
      <rPr>
        <sz val="11"/>
        <color rgb="FFFF0000"/>
        <rFont val="Times New Roman"/>
        <family val="1"/>
      </rPr>
      <t xml:space="preserve"> 1 năm</t>
    </r>
  </si>
  <si>
    <r>
      <t xml:space="preserve">Số dư hiện tại: </t>
    </r>
    <r>
      <rPr>
        <sz val="11"/>
        <color rgb="FFFF0000"/>
        <rFont val="Times New Roman"/>
        <family val="1"/>
      </rPr>
      <t>650.000.0000</t>
    </r>
    <r>
      <rPr>
        <sz val="11"/>
        <color rgb="FF000000"/>
        <rFont val="Times New Roman"/>
        <family val="1"/>
      </rPr>
      <t xml:space="preserve"> (đồng)</t>
    </r>
  </si>
  <si>
    <r>
      <t xml:space="preserve">Sản phẩm: </t>
    </r>
    <r>
      <rPr>
        <sz val="11"/>
        <color rgb="FFFF0000"/>
        <rFont val="Times New Roman"/>
        <family val="1"/>
      </rPr>
      <t>Tiền gửi ĐK TLT</t>
    </r>
  </si>
  <si>
    <t>Số tiền gửi:</t>
  </si>
  <si>
    <t>(đồng)</t>
  </si>
  <si>
    <t>0,20%</t>
  </si>
  <si>
    <t>0,70%</t>
  </si>
  <si>
    <t>7,57</t>
  </si>
  <si>
    <t>5.1. Lý do đề xuất: Đây là KH rất tiềm năng, Hiện tại đang giao dịch với rất nhiều ngân hàng khác</t>
  </si>
  <si>
    <t>5.2.Quan hệ: Hiện khách hàng quan hệ với PVB Bình Chánh</t>
  </si>
  <si>
    <t xml:space="preserve">    100.000.000 </t>
  </si>
  <si>
    <t>6,45%</t>
  </si>
  <si>
    <t>6,65%</t>
  </si>
  <si>
    <t>6,65</t>
  </si>
  <si>
    <t>0,92</t>
  </si>
  <si>
    <t xml:space="preserve">                                          460.000 </t>
  </si>
  <si>
    <t xml:space="preserve">Chi nhánh Thủ Đức </t>
  </si>
  <si>
    <t>Ngô Thị Quý</t>
  </si>
  <si>
    <t>Tiền gửi tiết kiệm bậc thang</t>
  </si>
  <si>
    <t xml:space="preserve">Chi nhánh Phú Mỹ Hưng </t>
  </si>
  <si>
    <t>: Nguyễn Quang Tiên</t>
  </si>
  <si>
    <r>
      <t xml:space="preserve">Họ tên:: </t>
    </r>
    <r>
      <rPr>
        <sz val="11"/>
        <color rgb="FFFF0000"/>
        <rFont val="Times New Roman"/>
        <family val="1"/>
      </rPr>
      <t>Nguyễn Ngọc Tuấn</t>
    </r>
  </si>
  <si>
    <r>
      <t xml:space="preserve">CIF: </t>
    </r>
    <r>
      <rPr>
        <sz val="11"/>
        <color rgb="FFFF0000"/>
        <rFont val="Times New Roman"/>
        <family val="1"/>
      </rPr>
      <t>10334411</t>
    </r>
  </si>
  <si>
    <r>
      <t>Giao dịch tại PVB:</t>
    </r>
    <r>
      <rPr>
        <sz val="11"/>
        <color rgb="FFFF0000"/>
        <rFont val="Times New Roman"/>
        <family val="1"/>
      </rPr>
      <t xml:space="preserve"> 2 năm</t>
    </r>
  </si>
  <si>
    <r>
      <t xml:space="preserve">Số dư hiện tại: </t>
    </r>
    <r>
      <rPr>
        <sz val="11"/>
        <color rgb="FFFF0000"/>
        <rFont val="Times New Roman"/>
        <family val="1"/>
      </rPr>
      <t>2.000.000.0000</t>
    </r>
    <r>
      <rPr>
        <sz val="11"/>
        <color rgb="FF000000"/>
        <rFont val="Times New Roman"/>
        <family val="1"/>
      </rPr>
      <t xml:space="preserve"> (đồng)</t>
    </r>
  </si>
  <si>
    <r>
      <t>Sản phẩm:…</t>
    </r>
    <r>
      <rPr>
        <sz val="11"/>
        <color rgb="FFFF0000"/>
        <rFont val="Times New Roman"/>
        <family val="1"/>
      </rPr>
      <t>Tiền gửi ĐK TLT</t>
    </r>
  </si>
  <si>
    <r>
      <t>Số tiền gửi:</t>
    </r>
    <r>
      <rPr>
        <sz val="11"/>
        <color rgb="FFFF0000"/>
        <rFont val="Times New Roman"/>
        <family val="1"/>
      </rPr>
      <t xml:space="preserve"> 700.000.000 </t>
    </r>
    <r>
      <rPr>
        <sz val="11"/>
        <color rgb="FF000000"/>
        <rFont val="Times New Roman"/>
        <family val="1"/>
      </rPr>
      <t>(đồng)</t>
    </r>
  </si>
  <si>
    <r>
      <t xml:space="preserve">Kỳ hạn: </t>
    </r>
    <r>
      <rPr>
        <sz val="11"/>
        <color rgb="FFFF0000"/>
        <rFont val="Times New Roman"/>
        <family val="1"/>
      </rPr>
      <t>13 tháng</t>
    </r>
  </si>
  <si>
    <r>
      <t xml:space="preserve">Ngày gửi: </t>
    </r>
    <r>
      <rPr>
        <sz val="11"/>
        <color rgb="FFFF0000"/>
        <rFont val="Times New Roman"/>
        <family val="1"/>
      </rPr>
      <t>07/08/2017</t>
    </r>
  </si>
  <si>
    <t>5.1. KH tiềm năng</t>
  </si>
  <si>
    <t>5.2. Là KH thân thiết _ của KSV Nguyễn Thị Ngọc Ngà</t>
  </si>
  <si>
    <t>PVcomBank Chi nhánh Phú Nhuận kính trình Giám đốc PTKD Khu Vực TP.HCM phê duyệt lãi suất áp dụng cho Khách hàng như sau:</t>
  </si>
  <si>
    <t>5.3. Hiện tại KH chỉ giao dịch tại PVcomBank Phú Nhuận</t>
  </si>
  <si>
    <t>HỌ TÊN: : NGUYỄN NGỌC TUẤN</t>
  </si>
  <si>
    <t>CIF: 10334411</t>
  </si>
  <si>
    <t>SỐ DƯ HIỆN TẠI: 20000000000</t>
  </si>
  <si>
    <t>SỐ TIỀN GỬI: 700000000</t>
  </si>
  <si>
    <t>Kỳ hạn: 13 tháng</t>
  </si>
  <si>
    <t>Sản phẩm:…Tiền gửi ĐK TLT</t>
  </si>
  <si>
    <t>Ngày gửi: 07/08/2017</t>
  </si>
  <si>
    <t xml:space="preserve">Chi nhánh Phú Nhuận </t>
  </si>
  <si>
    <t>: Nguyễn Ngọc Tuấn</t>
  </si>
  <si>
    <t>…Tiền gửi ĐK TLT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</si>
</sst>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0"/>
      <name val="Times New Roman"/>
      <family val="1"/>
    </font>
    <font>
      <sz val="11"/>
      <color theme="1"/>
      <name val="Times New Roman"/>
      <family val="1"/>
    </font>
    <font>
      <b/>
      <sz val="10"/>
      <name val="Times New Roman"/>
      <family val="1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1"/>
      <color rgb="FF000000"/>
      <name val="Times New Roman"/>
      <family val="1"/>
    </font>
    <font>
      <sz val="9"/>
      <color indexed="81"/>
      <name val="Tahoma"/>
      <family val="2"/>
    </font>
    <font>
      <sz val="12"/>
      <color rgb="FF000000"/>
      <name val="Times New Roman"/>
      <family val="1"/>
    </font>
    <font>
      <sz val="12"/>
      <color rgb="FF212121"/>
      <name val="Times New Roman"/>
      <family val="1"/>
    </font>
    <font>
      <sz val="10"/>
      <color theme="1"/>
      <name val="Tahoma"/>
      <family val="2"/>
    </font>
    <font>
      <sz val="11"/>
      <color theme="1"/>
      <name val="Calibri"/>
      <family val="2"/>
    </font>
    <font>
      <b/>
      <sz val="11"/>
      <color rgb="FFFF0000"/>
      <name val="Times New Roman"/>
      <family val="1"/>
    </font>
    <font>
      <b/>
      <i/>
      <sz val="11"/>
      <color theme="1"/>
      <name val="Calibri"/>
      <family val="2"/>
    </font>
    <font>
      <b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2"/>
      <color theme="1"/>
      <name val="Segoe UI"/>
      <family val="2"/>
    </font>
    <font>
      <b/>
      <i/>
      <sz val="11"/>
      <color rgb="FF000000"/>
      <name val="Cambria Math"/>
      <family val="1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ck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thick">
        <color indexed="64"/>
      </bottom>
      <diagonal/>
    </border>
    <border>
      <left/>
      <right style="thick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/>
    </xf>
    <xf numFmtId="164" fontId="2" fillId="2" borderId="1" xfId="1" applyNumberFormat="1" applyFont="1" applyFill="1" applyBorder="1" applyAlignment="1">
      <alignment horizontal="center" vertical="center" wrapText="1"/>
    </xf>
    <xf numFmtId="164" fontId="3" fillId="0" borderId="0" xfId="1" applyNumberFormat="1" applyFont="1"/>
    <xf numFmtId="9" fontId="2" fillId="2" borderId="1" xfId="2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10" fontId="3" fillId="0" borderId="0" xfId="2" applyNumberFormat="1" applyFont="1"/>
    <xf numFmtId="10" fontId="3" fillId="4" borderId="0" xfId="2" applyNumberFormat="1" applyFont="1" applyFill="1"/>
    <xf numFmtId="10" fontId="3" fillId="0" borderId="0" xfId="0" applyNumberFormat="1" applyFont="1"/>
    <xf numFmtId="0" fontId="4" fillId="0" borderId="0" xfId="0" applyFont="1"/>
    <xf numFmtId="10" fontId="3" fillId="0" borderId="0" xfId="2" applyNumberFormat="1" applyFont="1" applyAlignment="1">
      <alignment horizontal="center"/>
    </xf>
    <xf numFmtId="10" fontId="3" fillId="4" borderId="0" xfId="2" applyNumberFormat="1" applyFont="1" applyFill="1" applyAlignment="1">
      <alignment horizontal="center"/>
    </xf>
    <xf numFmtId="0" fontId="3" fillId="0" borderId="1" xfId="0" applyFont="1" applyBorder="1"/>
    <xf numFmtId="164" fontId="3" fillId="0" borderId="1" xfId="1" applyNumberFormat="1" applyFont="1" applyBorder="1"/>
    <xf numFmtId="10" fontId="3" fillId="0" borderId="1" xfId="2" applyNumberFormat="1" applyFont="1" applyBorder="1" applyAlignment="1">
      <alignment horizontal="center"/>
    </xf>
    <xf numFmtId="10" fontId="3" fillId="4" borderId="1" xfId="2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0" fontId="3" fillId="3" borderId="1" xfId="2" applyNumberFormat="1" applyFont="1" applyFill="1" applyBorder="1" applyAlignment="1">
      <alignment horizontal="center"/>
    </xf>
    <xf numFmtId="10" fontId="3" fillId="5" borderId="1" xfId="2" applyNumberFormat="1" applyFont="1" applyFill="1" applyBorder="1" applyAlignment="1">
      <alignment horizontal="center"/>
    </xf>
    <xf numFmtId="10" fontId="3" fillId="2" borderId="1" xfId="0" applyNumberFormat="1" applyFont="1" applyFill="1" applyBorder="1" applyAlignment="1">
      <alignment wrapText="1"/>
    </xf>
    <xf numFmtId="0" fontId="2" fillId="0" borderId="0" xfId="0" applyFont="1" applyAlignment="1">
      <alignment horizontal="center" vertical="center" wrapText="1"/>
    </xf>
    <xf numFmtId="14" fontId="3" fillId="0" borderId="1" xfId="1" applyNumberFormat="1" applyFont="1" applyBorder="1"/>
    <xf numFmtId="165" fontId="3" fillId="3" borderId="1" xfId="2" applyNumberFormat="1" applyFont="1" applyFill="1" applyBorder="1" applyAlignment="1">
      <alignment horizontal="center"/>
    </xf>
    <xf numFmtId="165" fontId="3" fillId="0" borderId="1" xfId="0" applyNumberFormat="1" applyFont="1" applyBorder="1"/>
    <xf numFmtId="0" fontId="5" fillId="0" borderId="1" xfId="0" applyFont="1" applyBorder="1"/>
    <xf numFmtId="164" fontId="5" fillId="0" borderId="1" xfId="1" applyNumberFormat="1" applyFont="1" applyBorder="1"/>
    <xf numFmtId="14" fontId="3" fillId="0" borderId="0" xfId="0" applyNumberFormat="1" applyFont="1"/>
    <xf numFmtId="164" fontId="7" fillId="2" borderId="1" xfId="1" applyNumberFormat="1" applyFont="1" applyFill="1" applyBorder="1"/>
    <xf numFmtId="0" fontId="8" fillId="0" borderId="0" xfId="0" applyFont="1"/>
    <xf numFmtId="0" fontId="10" fillId="6" borderId="6" xfId="0" applyFont="1" applyFill="1" applyBorder="1" applyAlignment="1">
      <alignment horizontal="center" vertical="center" wrapText="1"/>
    </xf>
    <xf numFmtId="0" fontId="8" fillId="6" borderId="7" xfId="0" applyFont="1" applyFill="1" applyBorder="1" applyAlignment="1">
      <alignment vertical="center" wrapText="1"/>
    </xf>
    <xf numFmtId="0" fontId="6" fillId="3" borderId="0" xfId="0" applyFont="1" applyFill="1"/>
    <xf numFmtId="0" fontId="0" fillId="3" borderId="0" xfId="0" applyFill="1"/>
    <xf numFmtId="0" fontId="3" fillId="0" borderId="0" xfId="0" applyFont="1" applyAlignment="1">
      <alignment vertical="center" wrapText="1"/>
    </xf>
    <xf numFmtId="0" fontId="0" fillId="3" borderId="0" xfId="0" applyFill="1" applyBorder="1" applyAlignment="1">
      <alignment wrapText="1"/>
    </xf>
    <xf numFmtId="10" fontId="0" fillId="0" borderId="0" xfId="0" applyNumberFormat="1"/>
    <xf numFmtId="0" fontId="0" fillId="0" borderId="0" xfId="0" applyNumberFormat="1"/>
    <xf numFmtId="9" fontId="0" fillId="0" borderId="0" xfId="0" applyNumberFormat="1"/>
    <xf numFmtId="0" fontId="0" fillId="3" borderId="0" xfId="0" quotePrefix="1" applyFill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8" fillId="4" borderId="7" xfId="0" applyFont="1" applyFill="1" applyBorder="1" applyAlignment="1">
      <alignment vertical="center" wrapText="1"/>
    </xf>
    <xf numFmtId="0" fontId="6" fillId="4" borderId="0" xfId="0" applyFont="1" applyFill="1"/>
    <xf numFmtId="0" fontId="10" fillId="4" borderId="6" xfId="0" applyFont="1" applyFill="1" applyBorder="1" applyAlignment="1">
      <alignment horizontal="center" vertical="center" wrapText="1"/>
    </xf>
    <xf numFmtId="10" fontId="8" fillId="4" borderId="6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vertical="center" wrapText="1"/>
    </xf>
    <xf numFmtId="0" fontId="8" fillId="6" borderId="5" xfId="0" applyFont="1" applyFill="1" applyBorder="1" applyAlignment="1">
      <alignment vertical="center" wrapText="1"/>
    </xf>
    <xf numFmtId="0" fontId="19" fillId="6" borderId="6" xfId="0" applyFont="1" applyFill="1" applyBorder="1" applyAlignment="1">
      <alignment horizontal="center" vertical="center" wrapText="1"/>
    </xf>
    <xf numFmtId="10" fontId="6" fillId="6" borderId="6" xfId="0" applyNumberFormat="1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vertical="center" wrapText="1"/>
    </xf>
    <xf numFmtId="0" fontId="8" fillId="6" borderId="27" xfId="0" applyFont="1" applyFill="1" applyBorder="1" applyAlignment="1">
      <alignment vertical="center" wrapText="1"/>
    </xf>
    <xf numFmtId="0" fontId="3" fillId="6" borderId="0" xfId="0" applyFont="1" applyFill="1" applyAlignment="1">
      <alignment vertical="center" wrapText="1"/>
    </xf>
    <xf numFmtId="0" fontId="0" fillId="0" borderId="0" xfId="0" applyAlignment="1">
      <alignment horizontal="left" vertical="center"/>
    </xf>
    <xf numFmtId="0" fontId="20" fillId="6" borderId="5" xfId="0" applyFont="1" applyFill="1" applyBorder="1" applyAlignment="1">
      <alignment vertical="center" wrapText="1"/>
    </xf>
    <xf numFmtId="0" fontId="20" fillId="6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10" fontId="6" fillId="6" borderId="11" xfId="0" applyNumberFormat="1" applyFont="1" applyFill="1" applyBorder="1" applyAlignment="1">
      <alignment horizontal="center" vertical="center" wrapText="1"/>
    </xf>
    <xf numFmtId="10" fontId="6" fillId="6" borderId="24" xfId="0" applyNumberFormat="1" applyFont="1" applyFill="1" applyBorder="1" applyAlignment="1">
      <alignment horizontal="center" vertical="center" wrapText="1"/>
    </xf>
    <xf numFmtId="10" fontId="6" fillId="6" borderId="25" xfId="0" applyNumberFormat="1" applyFont="1" applyFill="1" applyBorder="1" applyAlignment="1">
      <alignment horizontal="center" vertical="center" wrapText="1"/>
    </xf>
    <xf numFmtId="0" fontId="18" fillId="6" borderId="11" xfId="0" applyFont="1" applyFill="1" applyBorder="1" applyAlignment="1">
      <alignment vertical="center" wrapText="1"/>
    </xf>
    <xf numFmtId="0" fontId="18" fillId="6" borderId="12" xfId="0" applyFont="1" applyFill="1" applyBorder="1" applyAlignment="1">
      <alignment vertical="center" wrapText="1"/>
    </xf>
    <xf numFmtId="0" fontId="18" fillId="6" borderId="23" xfId="0" applyFont="1" applyFill="1" applyBorder="1" applyAlignment="1">
      <alignment vertical="center" wrapText="1"/>
    </xf>
    <xf numFmtId="10" fontId="21" fillId="6" borderId="13" xfId="0" applyNumberFormat="1" applyFont="1" applyFill="1" applyBorder="1" applyAlignment="1">
      <alignment horizontal="center" vertical="center" wrapText="1"/>
    </xf>
    <xf numFmtId="0" fontId="21" fillId="6" borderId="24" xfId="0" applyFont="1" applyFill="1" applyBorder="1" applyAlignment="1">
      <alignment horizontal="center" vertical="center" wrapText="1"/>
    </xf>
    <xf numFmtId="10" fontId="15" fillId="6" borderId="25" xfId="0" applyNumberFormat="1" applyFont="1" applyFill="1" applyBorder="1" applyAlignment="1">
      <alignment horizontal="right" vertical="center" wrapText="1"/>
    </xf>
    <xf numFmtId="0" fontId="15" fillId="6" borderId="24" xfId="0" applyFont="1" applyFill="1" applyBorder="1" applyAlignment="1">
      <alignment horizontal="right" vertical="center" wrapText="1"/>
    </xf>
    <xf numFmtId="0" fontId="15" fillId="6" borderId="8" xfId="0" applyFont="1" applyFill="1" applyBorder="1" applyAlignment="1">
      <alignment vertical="center" wrapText="1"/>
    </xf>
    <xf numFmtId="0" fontId="15" fillId="6" borderId="0" xfId="0" applyFont="1" applyFill="1" applyBorder="1" applyAlignment="1">
      <alignment vertical="center" wrapText="1"/>
    </xf>
    <xf numFmtId="0" fontId="15" fillId="6" borderId="21" xfId="0" applyFont="1" applyFill="1" applyBorder="1" applyAlignment="1">
      <alignment vertical="center" wrapText="1"/>
    </xf>
    <xf numFmtId="0" fontId="6" fillId="6" borderId="13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25" xfId="0" applyFont="1" applyFill="1" applyBorder="1" applyAlignment="1">
      <alignment vertical="center" wrapText="1"/>
    </xf>
    <xf numFmtId="0" fontId="6" fillId="6" borderId="23" xfId="0" applyFont="1" applyFill="1" applyBorder="1" applyAlignment="1">
      <alignment vertical="center" wrapText="1"/>
    </xf>
    <xf numFmtId="10" fontId="21" fillId="6" borderId="25" xfId="0" applyNumberFormat="1" applyFont="1" applyFill="1" applyBorder="1" applyAlignment="1">
      <alignment horizontal="right" vertical="center" wrapText="1"/>
    </xf>
    <xf numFmtId="0" fontId="21" fillId="6" borderId="23" xfId="0" applyFont="1" applyFill="1" applyBorder="1" applyAlignment="1">
      <alignment horizontal="right" vertical="center" wrapText="1"/>
    </xf>
    <xf numFmtId="0" fontId="18" fillId="6" borderId="2" xfId="0" applyFont="1" applyFill="1" applyBorder="1" applyAlignment="1">
      <alignment vertical="center" wrapText="1"/>
    </xf>
    <xf numFmtId="0" fontId="18" fillId="6" borderId="3" xfId="0" applyFont="1" applyFill="1" applyBorder="1" applyAlignment="1">
      <alignment vertical="center" wrapText="1"/>
    </xf>
    <xf numFmtId="0" fontId="18" fillId="6" borderId="19" xfId="0" applyFont="1" applyFill="1" applyBorder="1" applyAlignment="1">
      <alignment vertical="center" wrapText="1"/>
    </xf>
    <xf numFmtId="0" fontId="6" fillId="6" borderId="4" xfId="0" applyFont="1" applyFill="1" applyBorder="1" applyAlignment="1">
      <alignment vertical="center" wrapText="1"/>
    </xf>
    <xf numFmtId="0" fontId="6" fillId="6" borderId="5" xfId="0" applyFont="1" applyFill="1" applyBorder="1" applyAlignment="1">
      <alignment vertical="center" wrapText="1"/>
    </xf>
    <xf numFmtId="0" fontId="6" fillId="6" borderId="20" xfId="0" applyFont="1" applyFill="1" applyBorder="1" applyAlignment="1">
      <alignment vertical="center" wrapText="1"/>
    </xf>
    <xf numFmtId="0" fontId="6" fillId="6" borderId="14" xfId="0" applyFont="1" applyFill="1" applyBorder="1" applyAlignment="1">
      <alignment vertical="center" wrapText="1"/>
    </xf>
    <xf numFmtId="0" fontId="6" fillId="6" borderId="15" xfId="0" applyFont="1" applyFill="1" applyBorder="1" applyAlignment="1">
      <alignment vertical="center" wrapText="1"/>
    </xf>
    <xf numFmtId="0" fontId="6" fillId="6" borderId="28" xfId="0" applyFont="1" applyFill="1" applyBorder="1" applyAlignment="1">
      <alignment vertical="center" wrapText="1"/>
    </xf>
    <xf numFmtId="0" fontId="6" fillId="6" borderId="27" xfId="0" applyFont="1" applyFill="1" applyBorder="1" applyAlignment="1">
      <alignment vertical="center" wrapText="1"/>
    </xf>
    <xf numFmtId="0" fontId="6" fillId="6" borderId="29" xfId="0" applyFont="1" applyFill="1" applyBorder="1" applyAlignment="1">
      <alignment vertical="center" wrapText="1"/>
    </xf>
    <xf numFmtId="0" fontId="6" fillId="6" borderId="26" xfId="0" applyFont="1" applyFill="1" applyBorder="1" applyAlignment="1">
      <alignment vertical="center" wrapText="1"/>
    </xf>
    <xf numFmtId="0" fontId="6" fillId="6" borderId="30" xfId="0" applyFont="1" applyFill="1" applyBorder="1" applyAlignment="1">
      <alignment vertical="center" wrapText="1"/>
    </xf>
    <xf numFmtId="0" fontId="17" fillId="6" borderId="8" xfId="0" applyFont="1" applyFill="1" applyBorder="1" applyAlignment="1">
      <alignment vertical="center" wrapText="1"/>
    </xf>
    <xf numFmtId="0" fontId="17" fillId="6" borderId="0" xfId="0" applyFont="1" applyFill="1" applyBorder="1" applyAlignment="1">
      <alignment vertical="center" wrapText="1"/>
    </xf>
    <xf numFmtId="0" fontId="17" fillId="6" borderId="21" xfId="0" applyFont="1" applyFill="1" applyBorder="1" applyAlignment="1">
      <alignment vertical="center" wrapText="1"/>
    </xf>
    <xf numFmtId="0" fontId="6" fillId="6" borderId="12" xfId="0" applyFont="1" applyFill="1" applyBorder="1" applyAlignment="1">
      <alignment vertical="center" wrapText="1"/>
    </xf>
    <xf numFmtId="0" fontId="6" fillId="6" borderId="11" xfId="0" applyFont="1" applyFill="1" applyBorder="1" applyAlignment="1">
      <alignment vertical="center" wrapText="1"/>
    </xf>
    <xf numFmtId="0" fontId="6" fillId="6" borderId="24" xfId="0" applyFont="1" applyFill="1" applyBorder="1" applyAlignment="1">
      <alignment vertical="center" wrapText="1"/>
    </xf>
    <xf numFmtId="0" fontId="19" fillId="6" borderId="11" xfId="0" applyFont="1" applyFill="1" applyBorder="1" applyAlignment="1">
      <alignment horizontal="center" vertical="center" wrapText="1"/>
    </xf>
    <xf numFmtId="0" fontId="19" fillId="6" borderId="24" xfId="0" applyFont="1" applyFill="1" applyBorder="1" applyAlignment="1">
      <alignment horizontal="center" vertical="center" wrapText="1"/>
    </xf>
    <xf numFmtId="0" fontId="19" fillId="6" borderId="25" xfId="0" applyFont="1" applyFill="1" applyBorder="1" applyAlignment="1">
      <alignment horizontal="center" vertical="center" wrapText="1"/>
    </xf>
    <xf numFmtId="0" fontId="15" fillId="6" borderId="14" xfId="0" applyFont="1" applyFill="1" applyBorder="1" applyAlignment="1">
      <alignment vertical="center" wrapText="1"/>
    </xf>
    <xf numFmtId="0" fontId="15" fillId="6" borderId="15" xfId="0" applyFont="1" applyFill="1" applyBorder="1" applyAlignment="1">
      <alignment vertical="center" wrapText="1"/>
    </xf>
    <xf numFmtId="0" fontId="15" fillId="6" borderId="26" xfId="0" applyFont="1" applyFill="1" applyBorder="1" applyAlignment="1">
      <alignment vertical="center" wrapText="1"/>
    </xf>
    <xf numFmtId="0" fontId="10" fillId="6" borderId="9" xfId="0" applyFont="1" applyFill="1" applyBorder="1" applyAlignment="1">
      <alignment vertical="center" wrapText="1"/>
    </xf>
    <xf numFmtId="0" fontId="10" fillId="6" borderId="10" xfId="0" applyFont="1" applyFill="1" applyBorder="1" applyAlignment="1">
      <alignment vertical="center" wrapText="1"/>
    </xf>
    <xf numFmtId="0" fontId="10" fillId="6" borderId="22" xfId="0" applyFont="1" applyFill="1" applyBorder="1" applyAlignment="1">
      <alignment vertical="center" wrapText="1"/>
    </xf>
    <xf numFmtId="0" fontId="9" fillId="6" borderId="3" xfId="0" applyFont="1" applyFill="1" applyBorder="1" applyAlignment="1">
      <alignment vertical="center" wrapText="1"/>
    </xf>
    <xf numFmtId="0" fontId="9" fillId="6" borderId="11" xfId="0" applyFont="1" applyFill="1" applyBorder="1" applyAlignment="1">
      <alignment vertical="center" wrapText="1"/>
    </xf>
    <xf numFmtId="0" fontId="9" fillId="6" borderId="12" xfId="0" applyFont="1" applyFill="1" applyBorder="1" applyAlignment="1">
      <alignment vertical="center" wrapText="1"/>
    </xf>
    <xf numFmtId="0" fontId="9" fillId="6" borderId="23" xfId="0" applyFont="1" applyFill="1" applyBorder="1" applyAlignment="1">
      <alignment vertical="center" wrapText="1"/>
    </xf>
    <xf numFmtId="0" fontId="8" fillId="6" borderId="8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vertical="center" wrapText="1"/>
    </xf>
    <xf numFmtId="0" fontId="8" fillId="6" borderId="21" xfId="0" applyFont="1" applyFill="1" applyBorder="1" applyAlignment="1">
      <alignment vertical="center" wrapText="1"/>
    </xf>
    <xf numFmtId="0" fontId="6" fillId="6" borderId="8" xfId="0" applyFont="1" applyFill="1" applyBorder="1" applyAlignment="1">
      <alignment vertical="center" wrapText="1"/>
    </xf>
    <xf numFmtId="0" fontId="6" fillId="6" borderId="0" xfId="0" applyFont="1" applyFill="1" applyBorder="1" applyAlignment="1">
      <alignment vertical="center" wrapText="1"/>
    </xf>
    <xf numFmtId="0" fontId="6" fillId="6" borderId="21" xfId="0" applyFont="1" applyFill="1" applyBorder="1" applyAlignment="1">
      <alignment vertical="center" wrapText="1"/>
    </xf>
    <xf numFmtId="0" fontId="20" fillId="6" borderId="13" xfId="0" applyFont="1" applyFill="1" applyBorder="1" applyAlignment="1">
      <alignment horizontal="center" vertical="center" wrapText="1"/>
    </xf>
    <xf numFmtId="0" fontId="20" fillId="6" borderId="24" xfId="0" applyFont="1" applyFill="1" applyBorder="1" applyAlignment="1">
      <alignment horizontal="center" vertical="center" wrapText="1"/>
    </xf>
    <xf numFmtId="0" fontId="20" fillId="6" borderId="25" xfId="0" applyFont="1" applyFill="1" applyBorder="1" applyAlignment="1">
      <alignment horizontal="right" vertical="center" wrapText="1"/>
    </xf>
    <xf numFmtId="0" fontId="20" fillId="6" borderId="24" xfId="0" applyFont="1" applyFill="1" applyBorder="1" applyAlignment="1">
      <alignment horizontal="right" vertical="center" wrapText="1"/>
    </xf>
    <xf numFmtId="0" fontId="20" fillId="6" borderId="23" xfId="0" applyFont="1" applyFill="1" applyBorder="1" applyAlignment="1">
      <alignment horizontal="right" vertical="center" wrapText="1"/>
    </xf>
    <xf numFmtId="0" fontId="8" fillId="6" borderId="13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 vertical="center" wrapText="1"/>
    </xf>
    <xf numFmtId="0" fontId="8" fillId="6" borderId="24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 wrapText="1"/>
    </xf>
    <xf numFmtId="0" fontId="10" fillId="6" borderId="25" xfId="0" applyFont="1" applyFill="1" applyBorder="1" applyAlignment="1">
      <alignment horizontal="center" vertical="center" wrapText="1"/>
    </xf>
    <xf numFmtId="0" fontId="20" fillId="6" borderId="11" xfId="0" applyFont="1" applyFill="1" applyBorder="1" applyAlignment="1">
      <alignment horizontal="center" vertical="center" wrapText="1"/>
    </xf>
    <xf numFmtId="0" fontId="20" fillId="6" borderId="25" xfId="0" applyFont="1" applyFill="1" applyBorder="1" applyAlignment="1">
      <alignment horizontal="center" vertical="center" wrapText="1"/>
    </xf>
    <xf numFmtId="0" fontId="8" fillId="6" borderId="11" xfId="0" applyFont="1" applyFill="1" applyBorder="1" applyAlignment="1">
      <alignment vertical="center" wrapText="1"/>
    </xf>
    <xf numFmtId="0" fontId="8" fillId="6" borderId="12" xfId="0" applyFont="1" applyFill="1" applyBorder="1" applyAlignment="1">
      <alignment vertical="center" wrapText="1"/>
    </xf>
    <xf numFmtId="0" fontId="8" fillId="6" borderId="24" xfId="0" applyFont="1" applyFill="1" applyBorder="1" applyAlignment="1">
      <alignment vertical="center" wrapText="1"/>
    </xf>
    <xf numFmtId="0" fontId="8" fillId="6" borderId="25" xfId="0" applyFont="1" applyFill="1" applyBorder="1" applyAlignment="1">
      <alignment vertical="center" wrapText="1"/>
    </xf>
    <xf numFmtId="0" fontId="8" fillId="6" borderId="23" xfId="0" applyFont="1" applyFill="1" applyBorder="1" applyAlignment="1">
      <alignment vertical="center" wrapText="1"/>
    </xf>
    <xf numFmtId="0" fontId="8" fillId="6" borderId="4" xfId="0" applyFont="1" applyFill="1" applyBorder="1" applyAlignment="1">
      <alignment vertical="center" wrapText="1"/>
    </xf>
    <xf numFmtId="0" fontId="8" fillId="6" borderId="5" xfId="0" applyFont="1" applyFill="1" applyBorder="1" applyAlignment="1">
      <alignment vertical="center" wrapText="1"/>
    </xf>
    <xf numFmtId="0" fontId="8" fillId="6" borderId="27" xfId="0" applyFont="1" applyFill="1" applyBorder="1" applyAlignment="1">
      <alignment vertical="center" wrapText="1"/>
    </xf>
    <xf numFmtId="0" fontId="8" fillId="6" borderId="29" xfId="0" applyFont="1" applyFill="1" applyBorder="1" applyAlignment="1">
      <alignment vertical="center" wrapText="1"/>
    </xf>
    <xf numFmtId="0" fontId="8" fillId="6" borderId="15" xfId="0" applyFont="1" applyFill="1" applyBorder="1" applyAlignment="1">
      <alignment vertical="center" wrapText="1"/>
    </xf>
    <xf numFmtId="0" fontId="8" fillId="6" borderId="26" xfId="0" applyFont="1" applyFill="1" applyBorder="1" applyAlignment="1">
      <alignment vertical="center" wrapText="1"/>
    </xf>
    <xf numFmtId="0" fontId="8" fillId="6" borderId="30" xfId="0" applyFont="1" applyFill="1" applyBorder="1" applyAlignment="1">
      <alignment vertical="center" wrapText="1"/>
    </xf>
    <xf numFmtId="0" fontId="8" fillId="6" borderId="20" xfId="0" applyFont="1" applyFill="1" applyBorder="1" applyAlignment="1">
      <alignment vertical="center" wrapText="1"/>
    </xf>
    <xf numFmtId="0" fontId="9" fillId="6" borderId="2" xfId="0" applyFont="1" applyFill="1" applyBorder="1" applyAlignment="1">
      <alignment vertical="center" wrapText="1"/>
    </xf>
    <xf numFmtId="0" fontId="9" fillId="6" borderId="19" xfId="0" applyFont="1" applyFill="1" applyBorder="1" applyAlignment="1">
      <alignment vertical="center" wrapText="1"/>
    </xf>
    <xf numFmtId="0" fontId="8" fillId="6" borderId="14" xfId="0" applyFont="1" applyFill="1" applyBorder="1" applyAlignment="1">
      <alignment vertical="center" wrapText="1"/>
    </xf>
    <xf numFmtId="0" fontId="8" fillId="6" borderId="28" xfId="0" applyFont="1" applyFill="1" applyBorder="1" applyAlignment="1">
      <alignment vertical="center" wrapText="1"/>
    </xf>
    <xf numFmtId="0" fontId="8" fillId="4" borderId="11" xfId="0" applyFont="1" applyFill="1" applyBorder="1" applyAlignment="1">
      <alignment vertical="center" wrapText="1"/>
    </xf>
    <xf numFmtId="0" fontId="8" fillId="4" borderId="12" xfId="0" applyFont="1" applyFill="1" applyBorder="1" applyAlignment="1">
      <alignment vertical="center" wrapText="1"/>
    </xf>
    <xf numFmtId="0" fontId="8" fillId="4" borderId="24" xfId="0" applyFont="1" applyFill="1" applyBorder="1" applyAlignment="1">
      <alignment vertical="center" wrapText="1"/>
    </xf>
    <xf numFmtId="0" fontId="8" fillId="4" borderId="25" xfId="0" applyFont="1" applyFill="1" applyBorder="1" applyAlignment="1">
      <alignment vertical="center" wrapText="1"/>
    </xf>
    <xf numFmtId="0" fontId="8" fillId="4" borderId="23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0" fontId="9" fillId="4" borderId="3" xfId="0" applyFont="1" applyFill="1" applyBorder="1" applyAlignment="1">
      <alignment vertical="center" wrapText="1"/>
    </xf>
    <xf numFmtId="0" fontId="9" fillId="4" borderId="19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vertical="center" wrapText="1"/>
    </xf>
    <xf numFmtId="0" fontId="8" fillId="4" borderId="5" xfId="0" applyFont="1" applyFill="1" applyBorder="1" applyAlignment="1">
      <alignment vertical="center" wrapText="1"/>
    </xf>
    <xf numFmtId="0" fontId="8" fillId="4" borderId="20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9" fillId="4" borderId="12" xfId="0" applyFont="1" applyFill="1" applyBorder="1" applyAlignment="1">
      <alignment vertical="center" wrapText="1"/>
    </xf>
    <xf numFmtId="0" fontId="9" fillId="4" borderId="23" xfId="0" applyFont="1" applyFill="1" applyBorder="1" applyAlignment="1">
      <alignment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10" fillId="4" borderId="24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10" fontId="8" fillId="4" borderId="11" xfId="0" applyNumberFormat="1" applyFont="1" applyFill="1" applyBorder="1" applyAlignment="1">
      <alignment horizontal="center" vertical="center" wrapText="1"/>
    </xf>
    <xf numFmtId="10" fontId="8" fillId="4" borderId="24" xfId="0" applyNumberFormat="1" applyFont="1" applyFill="1" applyBorder="1" applyAlignment="1">
      <alignment horizontal="center" vertical="center" wrapText="1"/>
    </xf>
    <xf numFmtId="10" fontId="8" fillId="4" borderId="25" xfId="0" applyNumberFormat="1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vertical="center" wrapText="1"/>
    </xf>
    <xf numFmtId="0" fontId="10" fillId="4" borderId="10" xfId="0" applyFont="1" applyFill="1" applyBorder="1" applyAlignment="1">
      <alignment vertical="center" wrapText="1"/>
    </xf>
    <xf numFmtId="0" fontId="10" fillId="4" borderId="22" xfId="0" applyFont="1" applyFill="1" applyBorder="1" applyAlignment="1">
      <alignment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8" fillId="4" borderId="24" xfId="0" applyFont="1" applyFill="1" applyBorder="1" applyAlignment="1">
      <alignment horizontal="center" vertical="center" wrapText="1"/>
    </xf>
    <xf numFmtId="0" fontId="8" fillId="4" borderId="25" xfId="0" applyFont="1" applyFill="1" applyBorder="1" applyAlignment="1">
      <alignment horizontal="right" vertical="center" wrapText="1"/>
    </xf>
    <xf numFmtId="0" fontId="8" fillId="4" borderId="24" xfId="0" applyFont="1" applyFill="1" applyBorder="1" applyAlignment="1">
      <alignment horizontal="right" vertical="center" wrapText="1"/>
    </xf>
    <xf numFmtId="0" fontId="8" fillId="4" borderId="23" xfId="0" applyFont="1" applyFill="1" applyBorder="1" applyAlignment="1">
      <alignment horizontal="right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vertical="center" wrapText="1"/>
    </xf>
    <xf numFmtId="0" fontId="8" fillId="4" borderId="15" xfId="0" applyFont="1" applyFill="1" applyBorder="1" applyAlignment="1">
      <alignment vertical="center" wrapText="1"/>
    </xf>
    <xf numFmtId="0" fontId="8" fillId="4" borderId="26" xfId="0" applyFont="1" applyFill="1" applyBorder="1" applyAlignment="1">
      <alignment vertical="center" wrapText="1"/>
    </xf>
    <xf numFmtId="0" fontId="8" fillId="4" borderId="8" xfId="0" applyFont="1" applyFill="1" applyBorder="1" applyAlignment="1">
      <alignment horizontal="left" vertical="center" wrapText="1"/>
    </xf>
    <xf numFmtId="0" fontId="8" fillId="4" borderId="0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8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 wrapText="1"/>
    </xf>
    <xf numFmtId="0" fontId="8" fillId="4" borderId="21" xfId="0" applyFont="1" applyFill="1" applyBorder="1" applyAlignment="1">
      <alignment vertical="center" wrapText="1"/>
    </xf>
    <xf numFmtId="10" fontId="20" fillId="6" borderId="6" xfId="0" applyNumberFormat="1" applyFont="1" applyFill="1" applyBorder="1" applyAlignment="1">
      <alignment horizontal="center" vertical="center" wrapText="1"/>
    </xf>
    <xf numFmtId="10" fontId="20" fillId="6" borderId="11" xfId="0" applyNumberFormat="1" applyFont="1" applyFill="1" applyBorder="1" applyAlignment="1">
      <alignment horizontal="center" vertical="center" wrapText="1"/>
    </xf>
    <xf numFmtId="10" fontId="20" fillId="6" borderId="24" xfId="0" applyNumberFormat="1" applyFont="1" applyFill="1" applyBorder="1" applyAlignment="1">
      <alignment horizontal="center" vertical="center" wrapText="1"/>
    </xf>
    <xf numFmtId="10" fontId="20" fillId="6" borderId="25" xfId="0" applyNumberFormat="1" applyFont="1" applyFill="1" applyBorder="1" applyAlignment="1">
      <alignment horizontal="center" vertical="center" wrapText="1"/>
    </xf>
    <xf numFmtId="0" fontId="20" fillId="6" borderId="23" xfId="0" applyFont="1" applyFill="1" applyBorder="1" applyAlignment="1">
      <alignment vertical="center" wrapText="1"/>
    </xf>
    <xf numFmtId="3" fontId="20" fillId="6" borderId="25" xfId="0" applyNumberFormat="1" applyFont="1" applyFill="1" applyBorder="1" applyAlignment="1">
      <alignment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0</xdr:row>
          <xdr:rowOff>276225</xdr:rowOff>
        </xdr:from>
        <xdr:to>
          <xdr:col>11</xdr:col>
          <xdr:colOff>1057275</xdr:colOff>
          <xdr:row>1</xdr:row>
          <xdr:rowOff>371475</xdr:rowOff>
        </xdr:to>
        <xdr:sp macro="" textlink="">
          <xdr:nvSpPr>
            <xdr:cNvPr id="2049" name="btnGetTex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</xdr:row>
          <xdr:rowOff>0</xdr:rowOff>
        </xdr:from>
        <xdr:to>
          <xdr:col>9</xdr:col>
          <xdr:colOff>695325</xdr:colOff>
          <xdr:row>1</xdr:row>
          <xdr:rowOff>342900</xdr:rowOff>
        </xdr:to>
        <xdr:sp macro="" textlink="">
          <xdr:nvSpPr>
            <xdr:cNvPr id="2050" name="btnReplaceDat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7"/>
  <sheetViews>
    <sheetView tabSelected="1" zoomScale="115" zoomScaleNormal="115" workbookViewId="0">
      <pane ySplit="3" topLeftCell="A4" activePane="bottomLeft" state="frozen"/>
      <selection pane="bottomLeft" activeCell="E3" sqref="E3"/>
    </sheetView>
  </sheetViews>
  <sheetFormatPr defaultRowHeight="12.75" x14ac:dyDescent="0.2"/>
  <cols>
    <col min="1" max="1" width="4.28515625" style="3" customWidth="1"/>
    <col min="2" max="2" width="18.140625" style="3" bestFit="1" customWidth="1"/>
    <col min="3" max="3" width="27.140625" style="3" bestFit="1" customWidth="1"/>
    <col min="4" max="4" width="14.7109375" style="4" bestFit="1" customWidth="1"/>
    <col min="5" max="5" width="16.85546875" style="6" customWidth="1"/>
    <col min="6" max="6" width="17.42578125" style="3" customWidth="1"/>
    <col min="7" max="7" width="14.140625" style="3" customWidth="1"/>
    <col min="8" max="8" width="21.5703125" style="3" bestFit="1" customWidth="1"/>
    <col min="9" max="9" width="8" style="3" customWidth="1"/>
    <col min="10" max="10" width="15.85546875" style="3" customWidth="1"/>
    <col min="11" max="11" width="7.42578125" style="4" customWidth="1"/>
    <col min="12" max="12" width="8.28515625" style="9" customWidth="1"/>
    <col min="13" max="13" width="10.42578125" style="9" customWidth="1"/>
    <col min="14" max="14" width="7.7109375" style="9" customWidth="1"/>
    <col min="15" max="15" width="9.85546875" style="9" customWidth="1"/>
    <col min="16" max="16" width="7.7109375" style="10" customWidth="1"/>
    <col min="17" max="17" width="11.85546875" style="10" bestFit="1" customWidth="1"/>
    <col min="18" max="18" width="9.5703125" style="11" customWidth="1"/>
    <col min="19" max="19" width="29.5703125" style="3" customWidth="1"/>
    <col min="20" max="16384" width="9.140625" style="3"/>
  </cols>
  <sheetData>
    <row r="1" spans="1:19" x14ac:dyDescent="0.2">
      <c r="A1" s="59" t="s">
        <v>20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3" spans="1:19" s="2" customFormat="1" ht="73.5" customHeight="1" x14ac:dyDescent="0.2">
      <c r="A3" s="1" t="s">
        <v>0</v>
      </c>
      <c r="B3" s="1" t="s">
        <v>1</v>
      </c>
      <c r="C3" s="1" t="s">
        <v>2</v>
      </c>
      <c r="D3" s="1" t="s">
        <v>11</v>
      </c>
      <c r="E3" s="5" t="s">
        <v>3</v>
      </c>
      <c r="F3" s="1" t="s">
        <v>4</v>
      </c>
      <c r="G3" s="1" t="s">
        <v>5</v>
      </c>
      <c r="H3" s="1" t="s">
        <v>15</v>
      </c>
      <c r="I3" s="1" t="s">
        <v>16</v>
      </c>
      <c r="J3" s="1" t="s">
        <v>6</v>
      </c>
      <c r="K3" s="1" t="s">
        <v>19</v>
      </c>
      <c r="L3" s="8" t="s">
        <v>7</v>
      </c>
      <c r="M3" s="8" t="s">
        <v>9</v>
      </c>
      <c r="N3" s="8" t="s">
        <v>8</v>
      </c>
      <c r="O3" s="8" t="s">
        <v>10</v>
      </c>
      <c r="P3" s="8" t="s">
        <v>13</v>
      </c>
      <c r="Q3" s="7" t="s">
        <v>12</v>
      </c>
      <c r="R3" s="22" t="s">
        <v>14</v>
      </c>
      <c r="S3" s="23" t="s">
        <v>17</v>
      </c>
    </row>
    <row r="4" spans="1:19" x14ac:dyDescent="0.2">
      <c r="A4" s="19">
        <v>1</v>
      </c>
      <c r="B4" s="15" t="s">
        <v>22</v>
      </c>
      <c r="C4" s="27" t="s">
        <v>21</v>
      </c>
      <c r="D4" s="19">
        <v>10253686</v>
      </c>
      <c r="E4" s="28">
        <v>10500000000</v>
      </c>
      <c r="F4" s="28">
        <v>1500000000</v>
      </c>
      <c r="G4" s="24">
        <v>42887</v>
      </c>
      <c r="H4" s="24">
        <f>EDATE(G4,K4)</f>
        <v>43282</v>
      </c>
      <c r="I4" s="16" t="s">
        <v>18</v>
      </c>
      <c r="J4" s="15" t="s">
        <v>23</v>
      </c>
      <c r="K4" s="19">
        <v>13</v>
      </c>
      <c r="L4" s="17">
        <v>7.3999999999999996E-2</v>
      </c>
      <c r="M4" s="20">
        <v>7.0000000000000001E-3</v>
      </c>
      <c r="N4" s="17">
        <f>L4+M4</f>
        <v>8.1000000000000003E-2</v>
      </c>
      <c r="O4" s="25">
        <v>6.0000000000000001E-3</v>
      </c>
      <c r="P4" s="18">
        <v>8.6999999999999994E-2</v>
      </c>
      <c r="Q4" s="21">
        <f>P4-N4</f>
        <v>5.9999999999999915E-3</v>
      </c>
      <c r="R4" s="26">
        <f>M4-O4</f>
        <v>1E-3</v>
      </c>
      <c r="S4" s="12"/>
    </row>
    <row r="5" spans="1:19" x14ac:dyDescent="0.2">
      <c r="A5" s="19">
        <v>2</v>
      </c>
      <c r="B5" s="15" t="s">
        <v>24</v>
      </c>
      <c r="C5" s="27" t="s">
        <v>85</v>
      </c>
      <c r="D5" s="19">
        <v>10094252</v>
      </c>
      <c r="E5" s="28">
        <v>2109000000</v>
      </c>
      <c r="F5" s="28">
        <v>780000000</v>
      </c>
      <c r="G5" s="24">
        <v>42955</v>
      </c>
      <c r="H5" s="24">
        <v>43351</v>
      </c>
      <c r="I5" s="16" t="s">
        <v>100</v>
      </c>
      <c r="J5" s="15" t="s">
        <v>86</v>
      </c>
      <c r="K5" s="19">
        <v>13</v>
      </c>
      <c r="L5" s="17">
        <v>7.3499999999999996E-2</v>
      </c>
      <c r="M5" s="20">
        <v>5.0000000000000001E-3</v>
      </c>
      <c r="N5" s="17">
        <v>7.85E-2</v>
      </c>
      <c r="O5" s="25">
        <v>5.0000000000000001E-3</v>
      </c>
      <c r="P5" s="18">
        <v>8.6999999999999994E-2</v>
      </c>
      <c r="Q5" s="21">
        <v>8.4999999999999937E-3</v>
      </c>
      <c r="R5" s="26">
        <v>0</v>
      </c>
      <c r="S5" s="12"/>
    </row>
    <row r="6" spans="1:19" x14ac:dyDescent="0.2">
      <c r="A6" s="19">
        <v>3</v>
      </c>
      <c r="B6" s="15" t="s">
        <v>97</v>
      </c>
      <c r="C6" s="27" t="s">
        <v>98</v>
      </c>
      <c r="D6" s="19">
        <v>10350227</v>
      </c>
      <c r="E6" s="28">
        <v>850000000</v>
      </c>
      <c r="F6" s="28">
        <v>500000000</v>
      </c>
      <c r="G6" s="24">
        <v>42955</v>
      </c>
      <c r="H6" s="24">
        <v>43351</v>
      </c>
      <c r="I6" s="16" t="s">
        <v>100</v>
      </c>
      <c r="J6" s="15" t="s">
        <v>87</v>
      </c>
      <c r="K6" s="19">
        <v>13</v>
      </c>
      <c r="L6" s="17">
        <v>7.3499999999999996E-2</v>
      </c>
      <c r="M6" s="20">
        <v>3.0000000000000001E-3</v>
      </c>
      <c r="N6" s="17">
        <v>7.6499999999999999E-2</v>
      </c>
      <c r="O6" s="25">
        <v>5.0000000000000001E-3</v>
      </c>
      <c r="P6" s="18">
        <v>8.6999999999999994E-2</v>
      </c>
      <c r="Q6" s="21">
        <v>1.0499999999999995E-2</v>
      </c>
      <c r="R6" s="26">
        <v>-2E-3</v>
      </c>
      <c r="S6" s="12"/>
    </row>
    <row r="7" spans="1:19" x14ac:dyDescent="0.2">
      <c r="A7" s="19">
        <v>4</v>
      </c>
      <c r="B7" s="15" t="s">
        <v>27</v>
      </c>
      <c r="C7" s="27" t="s">
        <v>96</v>
      </c>
      <c r="D7" s="19">
        <v>10295807</v>
      </c>
      <c r="E7" s="28">
        <v>31500000000</v>
      </c>
      <c r="F7" s="28">
        <v>3250000000</v>
      </c>
      <c r="G7" s="24">
        <v>42924</v>
      </c>
      <c r="H7" s="24">
        <v>43108</v>
      </c>
      <c r="I7" s="16" t="s">
        <v>100</v>
      </c>
      <c r="J7" s="15" t="s">
        <v>93</v>
      </c>
      <c r="K7" s="19">
        <v>6</v>
      </c>
      <c r="L7" s="17">
        <v>6.6000000000000003E-2</v>
      </c>
      <c r="M7" s="20">
        <v>5.0000000000000001E-3</v>
      </c>
      <c r="N7" s="17">
        <v>7.0999999999999994E-2</v>
      </c>
      <c r="O7" s="25">
        <v>5.0000000000000001E-3</v>
      </c>
      <c r="P7" s="18">
        <v>7.5700000000000003E-2</v>
      </c>
      <c r="Q7" s="21">
        <v>4.7000000000000097E-3</v>
      </c>
      <c r="R7" s="26">
        <v>0</v>
      </c>
      <c r="S7" s="12"/>
    </row>
    <row r="8" spans="1:19" x14ac:dyDescent="0.2">
      <c r="A8" s="19">
        <v>5</v>
      </c>
      <c r="B8" s="15" t="s">
        <v>25</v>
      </c>
      <c r="C8" s="27" t="s">
        <v>94</v>
      </c>
      <c r="D8" s="19" t="s">
        <v>99</v>
      </c>
      <c r="E8" s="28">
        <v>32000000000</v>
      </c>
      <c r="F8" s="28">
        <v>3000000000</v>
      </c>
      <c r="G8" s="24">
        <v>42924</v>
      </c>
      <c r="H8" s="24">
        <v>43320</v>
      </c>
      <c r="I8" s="16" t="s">
        <v>100</v>
      </c>
      <c r="J8" s="15" t="s">
        <v>95</v>
      </c>
      <c r="K8" s="19">
        <v>13</v>
      </c>
      <c r="L8" s="17">
        <v>7.4499999999999997E-2</v>
      </c>
      <c r="M8" s="20">
        <v>6.0000000000000001E-3</v>
      </c>
      <c r="N8" s="17">
        <v>8.0500000000000002E-2</v>
      </c>
      <c r="O8" s="25">
        <v>6.0000000000000001E-3</v>
      </c>
      <c r="P8" s="18">
        <v>8.6999999999999994E-2</v>
      </c>
      <c r="Q8" s="21">
        <v>6.4999999999999919E-3</v>
      </c>
      <c r="R8" s="26">
        <v>0</v>
      </c>
      <c r="S8" s="12"/>
    </row>
    <row r="9" spans="1:19" x14ac:dyDescent="0.2">
      <c r="A9" s="19">
        <v>6</v>
      </c>
      <c r="B9" s="15" t="s">
        <v>26</v>
      </c>
      <c r="C9" s="27" t="s">
        <v>92</v>
      </c>
      <c r="D9" s="19">
        <v>10330960</v>
      </c>
      <c r="E9" s="28">
        <v>11500000000</v>
      </c>
      <c r="F9" s="28">
        <v>1150000000</v>
      </c>
      <c r="G9" s="24">
        <v>42924</v>
      </c>
      <c r="H9" s="24">
        <v>43320</v>
      </c>
      <c r="I9" s="16" t="s">
        <v>100</v>
      </c>
      <c r="J9" s="15" t="s">
        <v>93</v>
      </c>
      <c r="K9" s="19">
        <v>13</v>
      </c>
      <c r="L9" s="17">
        <v>7.3999999999999996E-2</v>
      </c>
      <c r="M9" s="20">
        <v>2E-3</v>
      </c>
      <c r="N9" s="17">
        <v>7.5999999999999998E-2</v>
      </c>
      <c r="O9" s="25">
        <v>5.0000000000000001E-3</v>
      </c>
      <c r="P9" s="18">
        <v>8.6999999999999994E-2</v>
      </c>
      <c r="Q9" s="21">
        <v>1.0999999999999996E-2</v>
      </c>
      <c r="R9" s="26">
        <v>-3.0000000000000001E-3</v>
      </c>
      <c r="S9" s="12"/>
    </row>
    <row r="10" spans="1:19" x14ac:dyDescent="0.2">
      <c r="A10" s="19">
        <v>7</v>
      </c>
      <c r="B10" s="15" t="s">
        <v>89</v>
      </c>
      <c r="C10" s="27" t="s">
        <v>90</v>
      </c>
      <c r="D10" s="19">
        <v>10340037</v>
      </c>
      <c r="E10" s="28">
        <v>2500000000</v>
      </c>
      <c r="F10" s="28">
        <v>500000000</v>
      </c>
      <c r="G10" s="24">
        <v>42924</v>
      </c>
      <c r="H10" s="24">
        <v>43108</v>
      </c>
      <c r="I10" s="16" t="s">
        <v>100</v>
      </c>
      <c r="J10" s="15" t="s">
        <v>91</v>
      </c>
      <c r="K10" s="19">
        <v>6</v>
      </c>
      <c r="L10" s="17">
        <v>6.7000000000000004E-2</v>
      </c>
      <c r="M10" s="20">
        <v>5.0000000000000001E-3</v>
      </c>
      <c r="N10" s="17">
        <v>7.1999999999999995E-2</v>
      </c>
      <c r="O10" s="25">
        <v>6.0000000000000001E-3</v>
      </c>
      <c r="P10" s="18">
        <v>7.5700000000000003E-2</v>
      </c>
      <c r="Q10" s="21">
        <v>3.7000000000000088E-3</v>
      </c>
      <c r="R10" s="26">
        <v>-1E-3</v>
      </c>
      <c r="S10" s="12"/>
    </row>
    <row r="11" spans="1:19" x14ac:dyDescent="0.2">
      <c r="A11" s="19">
        <v>8</v>
      </c>
      <c r="B11" s="15" t="s">
        <v>123</v>
      </c>
      <c r="C11" s="27" t="s">
        <v>124</v>
      </c>
      <c r="D11" s="19">
        <v>10419869</v>
      </c>
      <c r="E11" s="28">
        <v>0</v>
      </c>
      <c r="F11" s="28">
        <v>420000000</v>
      </c>
      <c r="G11" s="24">
        <v>42863</v>
      </c>
      <c r="H11" s="24">
        <v>43259</v>
      </c>
      <c r="I11" s="16" t="s">
        <v>100</v>
      </c>
      <c r="J11" s="15" t="s">
        <v>125</v>
      </c>
      <c r="K11" s="19">
        <v>13</v>
      </c>
      <c r="L11" s="17">
        <v>7.5999999999999998E-2</v>
      </c>
      <c r="M11" s="20">
        <v>1E-3</v>
      </c>
      <c r="N11" s="17">
        <v>7.6999999999999999E-2</v>
      </c>
      <c r="O11" s="25">
        <v>5.0000000000000001E-3</v>
      </c>
      <c r="P11" s="18">
        <v>8.6999999999999994E-2</v>
      </c>
      <c r="Q11" s="21">
        <v>9.999999999999995E-3</v>
      </c>
      <c r="R11" s="26">
        <v>-4.0000000000000001E-3</v>
      </c>
      <c r="S11" s="12"/>
    </row>
    <row r="12" spans="1:19" x14ac:dyDescent="0.2">
      <c r="A12" s="19">
        <v>9</v>
      </c>
      <c r="B12" s="15" t="s">
        <v>126</v>
      </c>
      <c r="C12" s="27" t="s">
        <v>127</v>
      </c>
      <c r="D12" s="19">
        <v>10002399</v>
      </c>
      <c r="E12" s="28">
        <v>194000000000</v>
      </c>
      <c r="F12" s="28">
        <v>3400000000</v>
      </c>
      <c r="G12" s="24">
        <v>42863</v>
      </c>
      <c r="H12" s="24">
        <v>43047</v>
      </c>
      <c r="I12" s="16" t="s">
        <v>100</v>
      </c>
      <c r="J12" s="15" t="s">
        <v>93</v>
      </c>
      <c r="K12" s="19">
        <v>6</v>
      </c>
      <c r="L12" s="17">
        <v>6.6000000000000003E-2</v>
      </c>
      <c r="M12" s="20">
        <v>4.0000000000000001E-3</v>
      </c>
      <c r="N12" s="17">
        <v>7.0000000000000007E-2</v>
      </c>
      <c r="O12" s="25">
        <v>5.0000000000000001E-3</v>
      </c>
      <c r="P12" s="18">
        <v>7.5700000000000003E-2</v>
      </c>
      <c r="Q12" s="21">
        <v>5.6999999999999967E-3</v>
      </c>
      <c r="R12" s="26">
        <v>-1E-3</v>
      </c>
      <c r="S12" s="12"/>
    </row>
    <row r="13" spans="1:19" x14ac:dyDescent="0.2">
      <c r="A13" s="19">
        <v>10</v>
      </c>
      <c r="B13" s="15" t="s">
        <v>147</v>
      </c>
      <c r="C13" s="27" t="s">
        <v>148</v>
      </c>
      <c r="D13" s="19">
        <v>10334411</v>
      </c>
      <c r="E13" s="28">
        <v>20000000000</v>
      </c>
      <c r="F13" s="28">
        <v>700000000</v>
      </c>
      <c r="G13" s="24">
        <v>42924</v>
      </c>
      <c r="H13" s="24">
        <v>43320</v>
      </c>
      <c r="I13" s="16" t="s">
        <v>100</v>
      </c>
      <c r="J13" s="15" t="s">
        <v>149</v>
      </c>
      <c r="K13" s="19">
        <v>13</v>
      </c>
      <c r="L13" s="17">
        <v>7.3499999999999996E-2</v>
      </c>
      <c r="M13" s="20">
        <v>5.0000000000000001E-3</v>
      </c>
      <c r="N13" s="17">
        <v>7.85E-2</v>
      </c>
      <c r="O13" s="25">
        <v>5.0000000000000001E-3</v>
      </c>
      <c r="P13" s="18">
        <v>8.6999999999999994E-2</v>
      </c>
      <c r="Q13" s="21">
        <v>8.4999999999999937E-3</v>
      </c>
      <c r="R13" s="26">
        <v>0</v>
      </c>
      <c r="S13" s="12"/>
    </row>
    <row r="14" spans="1:19" x14ac:dyDescent="0.2">
      <c r="A14" s="60" t="s">
        <v>36</v>
      </c>
      <c r="B14" s="61"/>
      <c r="C14" s="61"/>
      <c r="D14" s="62"/>
      <c r="E14" s="30">
        <v>304959000000</v>
      </c>
      <c r="F14" s="30">
        <v>15200000000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</row>
    <row r="15" spans="1:19" x14ac:dyDescent="0.2">
      <c r="G15" s="29"/>
      <c r="H15" s="29"/>
      <c r="L15" s="13"/>
      <c r="M15" s="13"/>
      <c r="N15" s="13"/>
      <c r="O15" s="13"/>
      <c r="P15" s="14"/>
      <c r="Q15" s="14"/>
    </row>
    <row r="16" spans="1:19" x14ac:dyDescent="0.2">
      <c r="L16" s="13"/>
      <c r="M16" s="13"/>
      <c r="N16" s="13"/>
      <c r="O16" s="13"/>
      <c r="P16" s="14"/>
      <c r="Q16" s="14"/>
    </row>
    <row r="17" spans="12:17" x14ac:dyDescent="0.2">
      <c r="L17" s="13"/>
      <c r="M17" s="13"/>
      <c r="N17" s="13"/>
      <c r="O17" s="13"/>
      <c r="P17" s="14"/>
      <c r="Q17" s="14"/>
    </row>
  </sheetData>
  <autoFilter ref="A3:S14"/>
  <mergeCells count="2">
    <mergeCell ref="A1:Q1"/>
    <mergeCell ref="A14:D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2"/>
  <sheetViews>
    <sheetView workbookViewId="0">
      <selection activeCell="C13" sqref="C13:D13"/>
    </sheetView>
  </sheetViews>
  <sheetFormatPr defaultColWidth="12" defaultRowHeight="22.5" customHeight="1" x14ac:dyDescent="0.25"/>
  <cols>
    <col min="7" max="7" width="13.85546875" customWidth="1"/>
    <col min="9" max="9" width="16" bestFit="1" customWidth="1"/>
    <col min="12" max="12" width="18.7109375" customWidth="1"/>
    <col min="13" max="13" width="26.28515625" bestFit="1" customWidth="1"/>
  </cols>
  <sheetData>
    <row r="1" spans="1:14" ht="22.5" customHeight="1" thickTop="1" x14ac:dyDescent="0.25">
      <c r="A1" s="83" t="s">
        <v>72</v>
      </c>
      <c r="B1" s="84"/>
      <c r="C1" s="84"/>
      <c r="D1" s="84"/>
      <c r="E1" s="84"/>
      <c r="F1" s="84"/>
      <c r="G1" s="85"/>
    </row>
    <row r="2" spans="1:14" ht="30" customHeight="1" thickBot="1" x14ac:dyDescent="0.3">
      <c r="A2" s="86" t="s">
        <v>138</v>
      </c>
      <c r="B2" s="87"/>
      <c r="C2" s="87"/>
      <c r="D2" s="87"/>
      <c r="E2" s="87"/>
      <c r="F2" s="87"/>
      <c r="G2" s="88"/>
    </row>
    <row r="3" spans="1:14" ht="22.5" customHeight="1" thickBot="1" x14ac:dyDescent="0.3">
      <c r="A3" s="66" t="s">
        <v>28</v>
      </c>
      <c r="B3" s="67"/>
      <c r="C3" s="67"/>
      <c r="D3" s="67"/>
      <c r="E3" s="67"/>
      <c r="F3" s="67"/>
      <c r="G3" s="68"/>
    </row>
    <row r="4" spans="1:14" ht="22.5" customHeight="1" x14ac:dyDescent="0.25">
      <c r="A4" s="89" t="s">
        <v>140</v>
      </c>
      <c r="B4" s="90"/>
      <c r="C4" s="90"/>
      <c r="D4" s="91"/>
      <c r="E4" s="93" t="s">
        <v>71</v>
      </c>
      <c r="F4" s="90"/>
      <c r="G4" s="94"/>
    </row>
    <row r="5" spans="1:14" ht="22.5" customHeight="1" thickBot="1" x14ac:dyDescent="0.3">
      <c r="A5" s="86" t="s">
        <v>141</v>
      </c>
      <c r="B5" s="87"/>
      <c r="C5" s="87"/>
      <c r="D5" s="92"/>
      <c r="E5" s="95"/>
      <c r="F5" s="87"/>
      <c r="G5" s="88"/>
      <c r="M5" s="42"/>
    </row>
    <row r="6" spans="1:14" ht="22.5" customHeight="1" thickBot="1" x14ac:dyDescent="0.3">
      <c r="A6" s="100" t="s">
        <v>70</v>
      </c>
      <c r="B6" s="99"/>
      <c r="C6" s="99"/>
      <c r="D6" s="101"/>
      <c r="E6" s="79" t="s">
        <v>142</v>
      </c>
      <c r="F6" s="99"/>
      <c r="G6" s="80"/>
      <c r="I6" s="34" t="s">
        <v>18</v>
      </c>
    </row>
    <row r="7" spans="1:14" ht="22.5" customHeight="1" thickBot="1" x14ac:dyDescent="0.3">
      <c r="A7" s="66" t="s">
        <v>50</v>
      </c>
      <c r="B7" s="67"/>
      <c r="C7" s="67"/>
      <c r="D7" s="67"/>
      <c r="E7" s="67"/>
      <c r="F7" s="67"/>
      <c r="G7" s="68"/>
      <c r="I7" s="34" t="s">
        <v>38</v>
      </c>
    </row>
    <row r="8" spans="1:14" ht="22.5" customHeight="1" thickBot="1" x14ac:dyDescent="0.3">
      <c r="A8" s="100" t="s">
        <v>145</v>
      </c>
      <c r="B8" s="99"/>
      <c r="C8" s="99"/>
      <c r="D8" s="101"/>
      <c r="E8" s="79" t="s">
        <v>73</v>
      </c>
      <c r="F8" s="99"/>
      <c r="G8" s="80"/>
      <c r="I8" s="34" t="s">
        <v>39</v>
      </c>
    </row>
    <row r="9" spans="1:14" ht="22.5" customHeight="1" thickBot="1" x14ac:dyDescent="0.3">
      <c r="A9" s="100" t="s">
        <v>143</v>
      </c>
      <c r="B9" s="99"/>
      <c r="C9" s="99"/>
      <c r="D9" s="101"/>
      <c r="E9" s="79" t="s">
        <v>144</v>
      </c>
      <c r="F9" s="99"/>
      <c r="G9" s="80"/>
      <c r="I9" s="34" t="s">
        <v>40</v>
      </c>
    </row>
    <row r="10" spans="1:14" ht="22.5" customHeight="1" thickBot="1" x14ac:dyDescent="0.3">
      <c r="A10" s="100" t="s">
        <v>146</v>
      </c>
      <c r="B10" s="99"/>
      <c r="C10" s="99"/>
      <c r="D10" s="101"/>
      <c r="E10" s="79"/>
      <c r="F10" s="99"/>
      <c r="G10" s="80"/>
      <c r="H10" s="31"/>
      <c r="I10" s="34" t="s">
        <v>41</v>
      </c>
      <c r="K10" s="39"/>
      <c r="L10" s="38"/>
      <c r="M10" s="40"/>
    </row>
    <row r="11" spans="1:14" ht="15.75" thickBot="1" x14ac:dyDescent="0.3">
      <c r="A11" s="66" t="s">
        <v>29</v>
      </c>
      <c r="B11" s="67"/>
      <c r="C11" s="67"/>
      <c r="D11" s="67"/>
      <c r="E11" s="67"/>
      <c r="F11" s="67"/>
      <c r="G11" s="68"/>
      <c r="J11" t="s">
        <v>42</v>
      </c>
      <c r="K11" s="39"/>
      <c r="L11" s="40"/>
    </row>
    <row r="12" spans="1:14" ht="27.75" customHeight="1" thickBot="1" x14ac:dyDescent="0.3">
      <c r="A12" s="102" t="s">
        <v>30</v>
      </c>
      <c r="B12" s="103"/>
      <c r="C12" s="104" t="s">
        <v>31</v>
      </c>
      <c r="D12" s="103"/>
      <c r="E12" s="104" t="s">
        <v>32</v>
      </c>
      <c r="F12" s="103"/>
      <c r="G12" s="51" t="s">
        <v>83</v>
      </c>
      <c r="I12" s="35" t="s">
        <v>46</v>
      </c>
      <c r="J12" s="35" t="s">
        <v>43</v>
      </c>
      <c r="M12" s="43"/>
    </row>
    <row r="13" spans="1:14" ht="22.5" customHeight="1" thickBot="1" x14ac:dyDescent="0.3">
      <c r="A13" s="63">
        <v>7.3499999999999996E-2</v>
      </c>
      <c r="B13" s="64"/>
      <c r="C13" s="65">
        <v>5.0000000000000001E-3</v>
      </c>
      <c r="D13" s="64"/>
      <c r="E13" s="65">
        <v>7.85E-2</v>
      </c>
      <c r="F13" s="64"/>
      <c r="G13" s="52">
        <v>5.0000000000000001E-3</v>
      </c>
      <c r="I13" s="35" t="s">
        <v>88</v>
      </c>
      <c r="J13" s="35" t="s">
        <v>3</v>
      </c>
      <c r="M13" s="43"/>
      <c r="N13" s="44"/>
    </row>
    <row r="14" spans="1:14" ht="31.5" customHeight="1" thickBot="1" x14ac:dyDescent="0.3">
      <c r="A14" s="66" t="s">
        <v>33</v>
      </c>
      <c r="B14" s="67"/>
      <c r="C14" s="67"/>
      <c r="D14" s="67"/>
      <c r="E14" s="67"/>
      <c r="F14" s="67"/>
      <c r="G14" s="68"/>
      <c r="J14" s="35"/>
    </row>
    <row r="15" spans="1:14" ht="22.5" customHeight="1" thickBot="1" x14ac:dyDescent="0.3">
      <c r="A15" s="53" t="s">
        <v>37</v>
      </c>
      <c r="B15" s="69">
        <v>8.6999999999999994E-2</v>
      </c>
      <c r="C15" s="70"/>
      <c r="D15" s="71">
        <v>7.85E-2</v>
      </c>
      <c r="E15" s="72"/>
      <c r="F15" s="81">
        <v>8.5000000000000006E-3</v>
      </c>
      <c r="G15" s="82"/>
      <c r="I15" s="35" t="s">
        <v>51</v>
      </c>
    </row>
    <row r="16" spans="1:14" ht="30" customHeight="1" thickBot="1" x14ac:dyDescent="0.3">
      <c r="A16" s="53" t="s">
        <v>34</v>
      </c>
      <c r="B16" s="76"/>
      <c r="C16" s="77"/>
      <c r="D16" s="77"/>
      <c r="E16" s="78"/>
      <c r="F16" s="79" t="s">
        <v>78</v>
      </c>
      <c r="G16" s="80"/>
      <c r="I16" s="35" t="s">
        <v>47</v>
      </c>
      <c r="J16" s="35" t="s">
        <v>44</v>
      </c>
    </row>
    <row r="17" spans="1:13" ht="22.5" customHeight="1" thickBot="1" x14ac:dyDescent="0.3">
      <c r="A17" s="66" t="s">
        <v>35</v>
      </c>
      <c r="B17" s="67"/>
      <c r="C17" s="67"/>
      <c r="D17" s="67"/>
      <c r="E17" s="67"/>
      <c r="F17" s="67"/>
      <c r="G17" s="68"/>
      <c r="I17" s="35" t="s">
        <v>48</v>
      </c>
    </row>
    <row r="18" spans="1:13" ht="22.5" customHeight="1" x14ac:dyDescent="0.25">
      <c r="A18" s="105" t="s">
        <v>79</v>
      </c>
      <c r="B18" s="106"/>
      <c r="C18" s="106"/>
      <c r="D18" s="106"/>
      <c r="E18" s="106"/>
      <c r="F18" s="106"/>
      <c r="G18" s="107"/>
      <c r="I18" s="35" t="s">
        <v>49</v>
      </c>
    </row>
    <row r="19" spans="1:13" ht="34.5" customHeight="1" x14ac:dyDescent="0.25">
      <c r="A19" s="73" t="s">
        <v>80</v>
      </c>
      <c r="B19" s="74"/>
      <c r="C19" s="74"/>
      <c r="D19" s="74"/>
      <c r="E19" s="74"/>
      <c r="F19" s="74"/>
      <c r="G19" s="75"/>
      <c r="I19" s="35" t="s">
        <v>30</v>
      </c>
      <c r="J19" s="35" t="s">
        <v>31</v>
      </c>
      <c r="K19" s="35" t="s">
        <v>32</v>
      </c>
      <c r="L19" s="37" t="s">
        <v>45</v>
      </c>
      <c r="M19" s="37" t="s">
        <v>52</v>
      </c>
    </row>
    <row r="20" spans="1:13" ht="22.5" customHeight="1" x14ac:dyDescent="0.25">
      <c r="A20" s="73" t="s">
        <v>81</v>
      </c>
      <c r="B20" s="74"/>
      <c r="C20" s="74"/>
      <c r="D20" s="74"/>
      <c r="E20" s="74"/>
      <c r="F20" s="74"/>
      <c r="G20" s="75"/>
      <c r="I20" s="41" t="s">
        <v>53</v>
      </c>
    </row>
    <row r="21" spans="1:13" ht="22.5" customHeight="1" x14ac:dyDescent="0.25">
      <c r="A21" s="96" t="s">
        <v>82</v>
      </c>
      <c r="B21" s="97"/>
      <c r="C21" s="97"/>
      <c r="D21" s="97"/>
      <c r="E21" s="97"/>
      <c r="F21" s="97"/>
      <c r="G21" s="98"/>
    </row>
    <row r="22" spans="1:13" ht="22.5" customHeight="1" x14ac:dyDescent="0.25">
      <c r="A22" s="55"/>
      <c r="B22" s="55"/>
      <c r="C22" s="55"/>
      <c r="D22" s="55"/>
      <c r="E22" s="55"/>
      <c r="F22" s="55"/>
      <c r="G22" s="55"/>
    </row>
  </sheetData>
  <mergeCells count="33">
    <mergeCell ref="A21:G21"/>
    <mergeCell ref="E6:G6"/>
    <mergeCell ref="A7:G7"/>
    <mergeCell ref="A10:D10"/>
    <mergeCell ref="E10:G10"/>
    <mergeCell ref="A11:G11"/>
    <mergeCell ref="A9:D9"/>
    <mergeCell ref="E9:G9"/>
    <mergeCell ref="A8:D8"/>
    <mergeCell ref="E8:G8"/>
    <mergeCell ref="A6:D6"/>
    <mergeCell ref="A12:B12"/>
    <mergeCell ref="C12:D12"/>
    <mergeCell ref="E12:F12"/>
    <mergeCell ref="A17:G17"/>
    <mergeCell ref="A18:G18"/>
    <mergeCell ref="A1:G1"/>
    <mergeCell ref="A2:G2"/>
    <mergeCell ref="A3:G3"/>
    <mergeCell ref="A4:D4"/>
    <mergeCell ref="A5:D5"/>
    <mergeCell ref="E4:G5"/>
    <mergeCell ref="A19:G19"/>
    <mergeCell ref="A20:G20"/>
    <mergeCell ref="B16:E16"/>
    <mergeCell ref="F16:G16"/>
    <mergeCell ref="F15:G15"/>
    <mergeCell ref="A13:B13"/>
    <mergeCell ref="C13:D13"/>
    <mergeCell ref="E13:F13"/>
    <mergeCell ref="A14:G14"/>
    <mergeCell ref="B15:C15"/>
    <mergeCell ref="D15:E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GetText">
          <controlPr defaultSize="0" autoLine="0" r:id="rId5">
            <anchor moveWithCells="1">
              <from>
                <xdr:col>10</xdr:col>
                <xdr:colOff>542925</xdr:colOff>
                <xdr:row>0</xdr:row>
                <xdr:rowOff>276225</xdr:rowOff>
              </from>
              <to>
                <xdr:col>11</xdr:col>
                <xdr:colOff>1057275</xdr:colOff>
                <xdr:row>1</xdr:row>
                <xdr:rowOff>371475</xdr:rowOff>
              </to>
            </anchor>
          </controlPr>
        </control>
      </mc:Choice>
      <mc:Fallback>
        <control shapeId="2049" r:id="rId4" name="btnGetText"/>
      </mc:Fallback>
    </mc:AlternateContent>
    <mc:AlternateContent xmlns:mc="http://schemas.openxmlformats.org/markup-compatibility/2006">
      <mc:Choice Requires="x14">
        <control shapeId="2050" r:id="rId6" name="btnReplaceData">
          <controlPr defaultSize="0" autoLine="0" r:id="rId7">
            <anchor moveWithCells="1">
              <from>
                <xdr:col>8</xdr:col>
                <xdr:colOff>457200</xdr:colOff>
                <xdr:row>1</xdr:row>
                <xdr:rowOff>0</xdr:rowOff>
              </from>
              <to>
                <xdr:col>9</xdr:col>
                <xdr:colOff>695325</xdr:colOff>
                <xdr:row>1</xdr:row>
                <xdr:rowOff>342900</xdr:rowOff>
              </to>
            </anchor>
          </controlPr>
        </control>
      </mc:Choice>
      <mc:Fallback>
        <control shapeId="2050" r:id="rId6" name="btnReplace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8"/>
  <sheetViews>
    <sheetView workbookViewId="0">
      <selection activeCell="H2" sqref="A2:XFD2"/>
    </sheetView>
  </sheetViews>
  <sheetFormatPr defaultColWidth="11.7109375" defaultRowHeight="15" x14ac:dyDescent="0.25"/>
  <cols>
    <col min="1" max="7" width="14.42578125" style="56" customWidth="1"/>
  </cols>
  <sheetData>
    <row r="1" spans="1:8" ht="88.5" customHeight="1" thickTop="1" x14ac:dyDescent="0.25">
      <c r="A1" s="147" t="s">
        <v>84</v>
      </c>
      <c r="B1" s="111"/>
      <c r="C1" s="111"/>
      <c r="D1" s="111"/>
      <c r="E1" s="111"/>
      <c r="F1" s="111"/>
      <c r="G1" s="148"/>
      <c r="H1" s="36"/>
    </row>
    <row r="2" spans="1:8" ht="30" customHeight="1" thickBot="1" x14ac:dyDescent="0.3">
      <c r="A2" s="139" t="s">
        <v>138</v>
      </c>
      <c r="B2" s="140"/>
      <c r="C2" s="140"/>
      <c r="D2" s="140"/>
      <c r="E2" s="140"/>
      <c r="F2" s="140"/>
      <c r="G2" s="146"/>
      <c r="H2" s="36"/>
    </row>
    <row r="3" spans="1:8" ht="15" customHeight="1" thickBot="1" x14ac:dyDescent="0.3">
      <c r="A3" s="112" t="s">
        <v>28</v>
      </c>
      <c r="B3" s="113"/>
      <c r="C3" s="113"/>
      <c r="D3" s="113"/>
      <c r="E3" s="113"/>
      <c r="F3" s="113"/>
      <c r="G3" s="114"/>
      <c r="H3" s="36"/>
    </row>
    <row r="4" spans="1:8" ht="87.75" customHeight="1" x14ac:dyDescent="0.25">
      <c r="A4" s="149" t="s">
        <v>128</v>
      </c>
      <c r="B4" s="143"/>
      <c r="C4" s="143"/>
      <c r="D4" s="150"/>
      <c r="E4" s="142" t="s">
        <v>74</v>
      </c>
      <c r="F4" s="143"/>
      <c r="G4" s="144"/>
      <c r="H4" s="36"/>
    </row>
    <row r="5" spans="1:8" ht="15.75" customHeight="1" thickBot="1" x14ac:dyDescent="0.3">
      <c r="A5" s="139" t="s">
        <v>129</v>
      </c>
      <c r="B5" s="140"/>
      <c r="C5" s="140"/>
      <c r="D5" s="141"/>
      <c r="E5" s="145"/>
      <c r="F5" s="140"/>
      <c r="G5" s="146"/>
      <c r="H5" s="36"/>
    </row>
    <row r="6" spans="1:8" ht="15.75" customHeight="1" thickBot="1" x14ac:dyDescent="0.3">
      <c r="A6" s="134" t="s">
        <v>130</v>
      </c>
      <c r="B6" s="135"/>
      <c r="C6" s="135"/>
      <c r="D6" s="136"/>
      <c r="E6" s="137" t="s">
        <v>131</v>
      </c>
      <c r="F6" s="135"/>
      <c r="G6" s="138"/>
      <c r="H6" s="36"/>
    </row>
    <row r="7" spans="1:8" ht="15.75" customHeight="1" thickBot="1" x14ac:dyDescent="0.3">
      <c r="A7" s="112" t="s">
        <v>75</v>
      </c>
      <c r="B7" s="113"/>
      <c r="C7" s="113"/>
      <c r="D7" s="113"/>
      <c r="E7" s="113"/>
      <c r="F7" s="113"/>
      <c r="G7" s="114"/>
      <c r="H7" s="36"/>
    </row>
    <row r="8" spans="1:8" ht="15.75" customHeight="1" thickBot="1" x14ac:dyDescent="0.3">
      <c r="A8" s="134" t="s">
        <v>132</v>
      </c>
      <c r="B8" s="135"/>
      <c r="C8" s="135"/>
      <c r="D8" s="136"/>
      <c r="E8" s="137" t="s">
        <v>76</v>
      </c>
      <c r="F8" s="135"/>
      <c r="G8" s="138"/>
      <c r="H8" s="36"/>
    </row>
    <row r="9" spans="1:8" ht="15.75" customHeight="1" thickBot="1" x14ac:dyDescent="0.3">
      <c r="A9" s="134" t="s">
        <v>133</v>
      </c>
      <c r="B9" s="135"/>
      <c r="C9" s="135"/>
      <c r="D9" s="136"/>
      <c r="E9" s="137" t="s">
        <v>134</v>
      </c>
      <c r="F9" s="135"/>
      <c r="G9" s="138"/>
      <c r="H9" s="36"/>
    </row>
    <row r="10" spans="1:8" ht="15.75" thickBot="1" x14ac:dyDescent="0.3">
      <c r="A10" s="134" t="s">
        <v>135</v>
      </c>
      <c r="B10" s="135"/>
      <c r="C10" s="135"/>
      <c r="D10" s="136"/>
      <c r="E10" s="137"/>
      <c r="F10" s="135"/>
      <c r="G10" s="138"/>
      <c r="H10" s="36"/>
    </row>
    <row r="11" spans="1:8" ht="103.5" customHeight="1" thickBot="1" x14ac:dyDescent="0.3">
      <c r="A11" s="112" t="s">
        <v>29</v>
      </c>
      <c r="B11" s="113"/>
      <c r="C11" s="113"/>
      <c r="D11" s="113"/>
      <c r="E11" s="113"/>
      <c r="F11" s="113"/>
      <c r="G11" s="114"/>
      <c r="H11" s="36"/>
    </row>
    <row r="12" spans="1:8" ht="103.5" thickBot="1" x14ac:dyDescent="0.3">
      <c r="A12" s="129" t="s">
        <v>30</v>
      </c>
      <c r="B12" s="130"/>
      <c r="C12" s="131" t="s">
        <v>31</v>
      </c>
      <c r="D12" s="130"/>
      <c r="E12" s="131" t="s">
        <v>32</v>
      </c>
      <c r="F12" s="130"/>
      <c r="G12" s="32" t="s">
        <v>83</v>
      </c>
      <c r="H12" s="36"/>
    </row>
    <row r="13" spans="1:8" ht="15.75" thickBot="1" x14ac:dyDescent="0.3">
      <c r="A13" s="190">
        <v>7.3499999999999996E-2</v>
      </c>
      <c r="B13" s="191"/>
      <c r="C13" s="192">
        <v>5.0000000000000001E-3</v>
      </c>
      <c r="D13" s="191"/>
      <c r="E13" s="192">
        <v>7.85E-2</v>
      </c>
      <c r="F13" s="191"/>
      <c r="G13" s="189">
        <v>5.0000000000000001E-3</v>
      </c>
      <c r="H13" s="36"/>
    </row>
    <row r="14" spans="1:8" ht="15.75" thickBot="1" x14ac:dyDescent="0.3">
      <c r="A14" s="112" t="s">
        <v>33</v>
      </c>
      <c r="B14" s="113"/>
      <c r="C14" s="113"/>
      <c r="D14" s="113"/>
      <c r="E14" s="113"/>
      <c r="F14" s="113"/>
      <c r="G14" s="114"/>
      <c r="H14" s="36"/>
    </row>
    <row r="15" spans="1:8" ht="30" customHeight="1" thickBot="1" x14ac:dyDescent="0.3">
      <c r="A15" s="33" t="s">
        <v>37</v>
      </c>
      <c r="B15" s="121">
        <v>8.6999999999999993</v>
      </c>
      <c r="C15" s="122"/>
      <c r="D15" s="123">
        <v>7.85</v>
      </c>
      <c r="E15" s="124"/>
      <c r="F15" s="123">
        <v>0.85</v>
      </c>
      <c r="G15" s="125"/>
      <c r="H15" s="36"/>
    </row>
    <row r="16" spans="1:8" ht="30" customHeight="1" thickBot="1" x14ac:dyDescent="0.3">
      <c r="A16" s="33" t="s">
        <v>34</v>
      </c>
      <c r="B16" s="126"/>
      <c r="C16" s="127"/>
      <c r="D16" s="127"/>
      <c r="E16" s="128"/>
      <c r="F16" s="194">
        <v>6445833</v>
      </c>
      <c r="G16" s="193"/>
      <c r="H16" s="36"/>
    </row>
    <row r="17" spans="1:8" ht="30" customHeight="1" thickBot="1" x14ac:dyDescent="0.3">
      <c r="A17" s="112" t="s">
        <v>35</v>
      </c>
      <c r="B17" s="113"/>
      <c r="C17" s="113"/>
      <c r="D17" s="113"/>
      <c r="E17" s="113"/>
      <c r="F17" s="113"/>
      <c r="G17" s="114"/>
      <c r="H17" s="36"/>
    </row>
    <row r="18" spans="1:8" ht="15" customHeight="1" x14ac:dyDescent="0.25">
      <c r="A18" s="149" t="s">
        <v>136</v>
      </c>
      <c r="B18" s="143"/>
      <c r="C18" s="143"/>
      <c r="D18" s="143"/>
      <c r="E18" s="143"/>
      <c r="F18" s="143"/>
      <c r="G18" s="144"/>
      <c r="H18" s="36"/>
    </row>
    <row r="19" spans="1:8" ht="15" customHeight="1" x14ac:dyDescent="0.25">
      <c r="A19" s="115" t="s">
        <v>137</v>
      </c>
      <c r="B19" s="116"/>
      <c r="C19" s="116"/>
      <c r="D19" s="116"/>
      <c r="E19" s="116"/>
      <c r="F19" s="116"/>
      <c r="G19" s="117"/>
      <c r="H19" s="36"/>
    </row>
    <row r="20" spans="1:8" ht="15.75" customHeight="1" x14ac:dyDescent="0.25">
      <c r="A20" s="115" t="s">
        <v>139</v>
      </c>
      <c r="B20" s="116"/>
      <c r="C20" s="116"/>
      <c r="D20" s="116"/>
      <c r="E20" s="116"/>
      <c r="F20" s="116"/>
      <c r="G20" s="117"/>
    </row>
    <row r="21" spans="1:8" ht="15.75" customHeight="1" x14ac:dyDescent="0.25">
      <c r="A21" s="115"/>
      <c r="B21" s="116"/>
      <c r="C21" s="116"/>
      <c r="D21" s="116"/>
      <c r="E21" s="116"/>
      <c r="F21" s="116"/>
      <c r="G21" s="117"/>
    </row>
    <row r="22" spans="1:8" ht="15.75" thickBot="1" x14ac:dyDescent="0.3">
      <c r="A22" s="108" t="s">
        <v>54</v>
      </c>
      <c r="B22" s="109"/>
      <c r="C22" s="109"/>
      <c r="D22" s="109"/>
      <c r="E22" s="109"/>
      <c r="F22" s="109"/>
      <c r="G22" s="110"/>
    </row>
    <row r="23" spans="1:8" ht="15.75" thickTop="1" x14ac:dyDescent="0.25">
      <c r="A23" s="111"/>
      <c r="B23" s="111"/>
      <c r="C23" s="111"/>
      <c r="D23" s="111"/>
      <c r="E23" s="111"/>
      <c r="F23" s="111"/>
      <c r="G23" s="111"/>
    </row>
    <row r="24" spans="1:8" ht="15.75" customHeight="1" x14ac:dyDescent="0.25">
      <c r="A24" s="36"/>
      <c r="B24" s="36"/>
      <c r="C24" s="36"/>
      <c r="D24" s="36"/>
      <c r="E24" s="36"/>
      <c r="F24" s="36"/>
      <c r="G24" s="36"/>
    </row>
    <row r="25" spans="1:8" ht="30" customHeight="1" thickBot="1" x14ac:dyDescent="0.3">
      <c r="A25" s="139" t="s">
        <v>104</v>
      </c>
      <c r="B25" s="140"/>
      <c r="C25" s="140"/>
      <c r="D25" s="140"/>
      <c r="E25" s="140"/>
      <c r="F25" s="140"/>
      <c r="G25" s="146"/>
    </row>
    <row r="26" spans="1:8" ht="15.75" thickBot="1" x14ac:dyDescent="0.3">
      <c r="A26" s="112" t="s">
        <v>28</v>
      </c>
      <c r="B26" s="113"/>
      <c r="C26" s="113"/>
      <c r="D26" s="113"/>
      <c r="E26" s="113"/>
      <c r="F26" s="113"/>
      <c r="G26" s="114"/>
    </row>
    <row r="27" spans="1:8" ht="15" customHeight="1" x14ac:dyDescent="0.25">
      <c r="A27" s="149" t="s">
        <v>105</v>
      </c>
      <c r="B27" s="143"/>
      <c r="C27" s="143"/>
      <c r="D27" s="150"/>
      <c r="E27" s="142" t="s">
        <v>74</v>
      </c>
      <c r="F27" s="143"/>
      <c r="G27" s="144"/>
    </row>
    <row r="28" spans="1:8" ht="15.75" thickBot="1" x14ac:dyDescent="0.3">
      <c r="A28" s="139" t="s">
        <v>106</v>
      </c>
      <c r="B28" s="140"/>
      <c r="C28" s="140"/>
      <c r="D28" s="141"/>
      <c r="E28" s="145"/>
      <c r="F28" s="140"/>
      <c r="G28" s="146"/>
    </row>
    <row r="29" spans="1:8" ht="15.75" thickBot="1" x14ac:dyDescent="0.3">
      <c r="A29" s="134" t="s">
        <v>107</v>
      </c>
      <c r="B29" s="135"/>
      <c r="C29" s="135"/>
      <c r="D29" s="136"/>
      <c r="E29" s="137" t="s">
        <v>108</v>
      </c>
      <c r="F29" s="135"/>
      <c r="G29" s="138"/>
    </row>
    <row r="30" spans="1:8" ht="15.75" thickBot="1" x14ac:dyDescent="0.3">
      <c r="A30" s="112" t="s">
        <v>75</v>
      </c>
      <c r="B30" s="113"/>
      <c r="C30" s="113"/>
      <c r="D30" s="113"/>
      <c r="E30" s="113"/>
      <c r="F30" s="113"/>
      <c r="G30" s="114"/>
    </row>
    <row r="31" spans="1:8" ht="15.75" thickBot="1" x14ac:dyDescent="0.3">
      <c r="A31" s="134" t="s">
        <v>109</v>
      </c>
      <c r="B31" s="135"/>
      <c r="C31" s="135"/>
      <c r="D31" s="136"/>
      <c r="E31" s="137" t="s">
        <v>76</v>
      </c>
      <c r="F31" s="135"/>
      <c r="G31" s="138"/>
    </row>
    <row r="32" spans="1:8" ht="15.75" thickBot="1" x14ac:dyDescent="0.3">
      <c r="A32" s="49" t="s">
        <v>110</v>
      </c>
      <c r="B32" s="57" t="s">
        <v>117</v>
      </c>
      <c r="C32" s="50" t="s">
        <v>111</v>
      </c>
      <c r="D32" s="54"/>
      <c r="E32" s="137" t="s">
        <v>77</v>
      </c>
      <c r="F32" s="135"/>
      <c r="G32" s="138"/>
    </row>
    <row r="33" spans="1:7" ht="15.75" thickBot="1" x14ac:dyDescent="0.3">
      <c r="A33" s="134" t="s">
        <v>101</v>
      </c>
      <c r="B33" s="135"/>
      <c r="C33" s="135"/>
      <c r="D33" s="136"/>
      <c r="E33" s="137"/>
      <c r="F33" s="135"/>
      <c r="G33" s="138"/>
    </row>
    <row r="34" spans="1:7" ht="15.75" thickBot="1" x14ac:dyDescent="0.3">
      <c r="A34" s="112" t="s">
        <v>29</v>
      </c>
      <c r="B34" s="113"/>
      <c r="C34" s="113"/>
      <c r="D34" s="113"/>
      <c r="E34" s="113"/>
      <c r="F34" s="113"/>
      <c r="G34" s="114"/>
    </row>
    <row r="35" spans="1:7" ht="103.5" thickBot="1" x14ac:dyDescent="0.3">
      <c r="A35" s="129" t="s">
        <v>30</v>
      </c>
      <c r="B35" s="130"/>
      <c r="C35" s="131" t="s">
        <v>31</v>
      </c>
      <c r="D35" s="130"/>
      <c r="E35" s="131" t="s">
        <v>32</v>
      </c>
      <c r="F35" s="130"/>
      <c r="G35" s="32" t="s">
        <v>102</v>
      </c>
    </row>
    <row r="36" spans="1:7" ht="15.75" thickBot="1" x14ac:dyDescent="0.3">
      <c r="A36" s="132" t="s">
        <v>118</v>
      </c>
      <c r="B36" s="122"/>
      <c r="C36" s="133" t="s">
        <v>112</v>
      </c>
      <c r="D36" s="122"/>
      <c r="E36" s="133" t="s">
        <v>119</v>
      </c>
      <c r="F36" s="122"/>
      <c r="G36" s="58" t="s">
        <v>113</v>
      </c>
    </row>
    <row r="37" spans="1:7" ht="15.75" thickBot="1" x14ac:dyDescent="0.3">
      <c r="A37" s="112" t="s">
        <v>33</v>
      </c>
      <c r="B37" s="113"/>
      <c r="C37" s="113"/>
      <c r="D37" s="113"/>
      <c r="E37" s="113"/>
      <c r="F37" s="113"/>
      <c r="G37" s="114"/>
    </row>
    <row r="38" spans="1:7" ht="15.75" thickBot="1" x14ac:dyDescent="0.3">
      <c r="A38" s="33" t="s">
        <v>37</v>
      </c>
      <c r="B38" s="121" t="s">
        <v>114</v>
      </c>
      <c r="C38" s="122"/>
      <c r="D38" s="123" t="s">
        <v>120</v>
      </c>
      <c r="E38" s="124"/>
      <c r="F38" s="123" t="s">
        <v>121</v>
      </c>
      <c r="G38" s="125"/>
    </row>
    <row r="39" spans="1:7" ht="30" customHeight="1" thickBot="1" x14ac:dyDescent="0.3">
      <c r="A39" s="33" t="s">
        <v>34</v>
      </c>
      <c r="B39" s="126"/>
      <c r="C39" s="127"/>
      <c r="D39" s="127"/>
      <c r="E39" s="128"/>
      <c r="F39" s="123" t="s">
        <v>122</v>
      </c>
      <c r="G39" s="125"/>
    </row>
    <row r="40" spans="1:7" ht="15.75" thickBot="1" x14ac:dyDescent="0.3">
      <c r="A40" s="112" t="s">
        <v>35</v>
      </c>
      <c r="B40" s="113"/>
      <c r="C40" s="113"/>
      <c r="D40" s="113"/>
      <c r="E40" s="113"/>
      <c r="F40" s="113"/>
      <c r="G40" s="114"/>
    </row>
    <row r="41" spans="1:7" ht="15" customHeight="1" x14ac:dyDescent="0.25">
      <c r="A41" s="89" t="s">
        <v>115</v>
      </c>
      <c r="B41" s="90"/>
      <c r="C41" s="90"/>
      <c r="D41" s="90"/>
      <c r="E41" s="90"/>
      <c r="F41" s="90"/>
      <c r="G41" s="94"/>
    </row>
    <row r="42" spans="1:7" ht="15" customHeight="1" x14ac:dyDescent="0.25">
      <c r="A42" s="115" t="s">
        <v>116</v>
      </c>
      <c r="B42" s="116"/>
      <c r="C42" s="116"/>
      <c r="D42" s="116"/>
      <c r="E42" s="116"/>
      <c r="F42" s="116"/>
      <c r="G42" s="117"/>
    </row>
    <row r="43" spans="1:7" ht="15" customHeight="1" x14ac:dyDescent="0.25">
      <c r="A43" s="118" t="s">
        <v>103</v>
      </c>
      <c r="B43" s="119"/>
      <c r="C43" s="119"/>
      <c r="D43" s="119"/>
      <c r="E43" s="119"/>
      <c r="F43" s="119"/>
      <c r="G43" s="120"/>
    </row>
    <row r="44" spans="1:7" x14ac:dyDescent="0.25">
      <c r="A44" s="115"/>
      <c r="B44" s="116"/>
      <c r="C44" s="116"/>
      <c r="D44" s="116"/>
      <c r="E44" s="116"/>
      <c r="F44" s="116"/>
      <c r="G44" s="117"/>
    </row>
    <row r="45" spans="1:7" ht="15.75" thickBot="1" x14ac:dyDescent="0.3">
      <c r="A45" s="108" t="s">
        <v>54</v>
      </c>
      <c r="B45" s="109"/>
      <c r="C45" s="109"/>
      <c r="D45" s="109"/>
      <c r="E45" s="109"/>
      <c r="F45" s="109"/>
      <c r="G45" s="110"/>
    </row>
    <row r="46" spans="1:7" ht="15.75" thickTop="1" x14ac:dyDescent="0.25">
      <c r="A46" s="111"/>
      <c r="B46" s="111"/>
      <c r="C46" s="111"/>
      <c r="D46" s="111"/>
      <c r="E46" s="111"/>
      <c r="F46" s="111"/>
      <c r="G46" s="111"/>
    </row>
    <row r="47" spans="1:7" x14ac:dyDescent="0.25">
      <c r="A47" s="55"/>
      <c r="B47" s="55"/>
      <c r="C47" s="55"/>
      <c r="D47" s="55"/>
      <c r="E47" s="55"/>
      <c r="F47" s="55"/>
      <c r="G47" s="55"/>
    </row>
    <row r="48" spans="1:7" x14ac:dyDescent="0.25">
      <c r="A48" s="36"/>
      <c r="B48" s="36"/>
      <c r="C48" s="36"/>
      <c r="D48" s="36"/>
      <c r="E48" s="36"/>
      <c r="F48" s="36"/>
      <c r="G48" s="36"/>
    </row>
  </sheetData>
  <mergeCells count="68">
    <mergeCell ref="B16:E16"/>
    <mergeCell ref="F16:G16"/>
    <mergeCell ref="A23:G23"/>
    <mergeCell ref="A5:D5"/>
    <mergeCell ref="A9:D9"/>
    <mergeCell ref="E9:G9"/>
    <mergeCell ref="E4:G5"/>
    <mergeCell ref="A6:D6"/>
    <mergeCell ref="E6:G6"/>
    <mergeCell ref="A7:G7"/>
    <mergeCell ref="F15:G15"/>
    <mergeCell ref="A20:G20"/>
    <mergeCell ref="A12:B12"/>
    <mergeCell ref="C12:D12"/>
    <mergeCell ref="E12:F12"/>
    <mergeCell ref="A10:D10"/>
    <mergeCell ref="E10:G10"/>
    <mergeCell ref="A11:G11"/>
    <mergeCell ref="A13:B13"/>
    <mergeCell ref="C13:D13"/>
    <mergeCell ref="E13:F13"/>
    <mergeCell ref="A14:G14"/>
    <mergeCell ref="B15:C15"/>
    <mergeCell ref="D15:E15"/>
    <mergeCell ref="A21:G21"/>
    <mergeCell ref="A19:G19"/>
    <mergeCell ref="E8:G8"/>
    <mergeCell ref="A18:G18"/>
    <mergeCell ref="A17:G17"/>
    <mergeCell ref="A8:D8"/>
    <mergeCell ref="A2:G2"/>
    <mergeCell ref="A4:D4"/>
    <mergeCell ref="A1:G1"/>
    <mergeCell ref="A3:G3"/>
    <mergeCell ref="A22:G22"/>
    <mergeCell ref="A25:G25"/>
    <mergeCell ref="A26:G26"/>
    <mergeCell ref="A27:D27"/>
    <mergeCell ref="A28:D28"/>
    <mergeCell ref="E27:G28"/>
    <mergeCell ref="A29:D29"/>
    <mergeCell ref="E29:G29"/>
    <mergeCell ref="A30:G30"/>
    <mergeCell ref="A31:D31"/>
    <mergeCell ref="E31:G31"/>
    <mergeCell ref="E32:G32"/>
    <mergeCell ref="A33:D33"/>
    <mergeCell ref="E33:G33"/>
    <mergeCell ref="A34:G34"/>
    <mergeCell ref="A35:B35"/>
    <mergeCell ref="C35:D35"/>
    <mergeCell ref="E35:F35"/>
    <mergeCell ref="A36:B36"/>
    <mergeCell ref="C36:D36"/>
    <mergeCell ref="E36:F36"/>
    <mergeCell ref="A37:G37"/>
    <mergeCell ref="B38:C38"/>
    <mergeCell ref="D38:E38"/>
    <mergeCell ref="F38:G38"/>
    <mergeCell ref="B39:E39"/>
    <mergeCell ref="F39:G39"/>
    <mergeCell ref="A45:G45"/>
    <mergeCell ref="A46:G46"/>
    <mergeCell ref="A40:G40"/>
    <mergeCell ref="A41:G41"/>
    <mergeCell ref="A42:G42"/>
    <mergeCell ref="A43:G43"/>
    <mergeCell ref="A44:G4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2"/>
  <sheetViews>
    <sheetView workbookViewId="0">
      <selection activeCell="C11" sqref="C11:D11"/>
    </sheetView>
  </sheetViews>
  <sheetFormatPr defaultColWidth="0" defaultRowHeight="15" zeroHeight="1" x14ac:dyDescent="0.25"/>
  <cols>
    <col min="1" max="7" width="16.140625" style="46" customWidth="1"/>
    <col min="8" max="8" width="4" style="46" customWidth="1"/>
    <col min="9" max="16384" width="9.140625" style="46" hidden="1"/>
  </cols>
  <sheetData>
    <row r="1" spans="1:7" ht="30" customHeight="1" thickTop="1" x14ac:dyDescent="0.25">
      <c r="A1" s="156" t="s">
        <v>65</v>
      </c>
      <c r="B1" s="157"/>
      <c r="C1" s="157"/>
      <c r="D1" s="157"/>
      <c r="E1" s="157"/>
      <c r="F1" s="157"/>
      <c r="G1" s="158"/>
    </row>
    <row r="2" spans="1:7" ht="30" customHeight="1" thickBot="1" x14ac:dyDescent="0.3">
      <c r="A2" s="159" t="s">
        <v>55</v>
      </c>
      <c r="B2" s="160"/>
      <c r="C2" s="160"/>
      <c r="D2" s="160"/>
      <c r="E2" s="160"/>
      <c r="F2" s="160"/>
      <c r="G2" s="161"/>
    </row>
    <row r="3" spans="1:7" ht="18.75" customHeight="1" thickBot="1" x14ac:dyDescent="0.3">
      <c r="A3" s="162" t="s">
        <v>28</v>
      </c>
      <c r="B3" s="163"/>
      <c r="C3" s="163"/>
      <c r="D3" s="163"/>
      <c r="E3" s="163"/>
      <c r="F3" s="163"/>
      <c r="G3" s="164"/>
    </row>
    <row r="4" spans="1:7" ht="36.75" customHeight="1" thickBot="1" x14ac:dyDescent="0.3">
      <c r="A4" s="151" t="s">
        <v>62</v>
      </c>
      <c r="B4" s="152"/>
      <c r="C4" s="152"/>
      <c r="D4" s="153"/>
      <c r="E4" s="154" t="s">
        <v>56</v>
      </c>
      <c r="F4" s="152"/>
      <c r="G4" s="155"/>
    </row>
    <row r="5" spans="1:7" ht="30" customHeight="1" thickBot="1" x14ac:dyDescent="0.3">
      <c r="A5" s="151" t="s">
        <v>61</v>
      </c>
      <c r="B5" s="152"/>
      <c r="C5" s="152"/>
      <c r="D5" s="153"/>
      <c r="E5" s="154" t="s">
        <v>60</v>
      </c>
      <c r="F5" s="152"/>
      <c r="G5" s="155"/>
    </row>
    <row r="6" spans="1:7" ht="18.75" customHeight="1" thickBot="1" x14ac:dyDescent="0.3">
      <c r="A6" s="162" t="s">
        <v>50</v>
      </c>
      <c r="B6" s="163"/>
      <c r="C6" s="163"/>
      <c r="D6" s="163"/>
      <c r="E6" s="163"/>
      <c r="F6" s="163"/>
      <c r="G6" s="164"/>
    </row>
    <row r="7" spans="1:7" ht="18.75" customHeight="1" thickBot="1" x14ac:dyDescent="0.3">
      <c r="A7" s="151" t="s">
        <v>63</v>
      </c>
      <c r="B7" s="152"/>
      <c r="C7" s="152"/>
      <c r="D7" s="153"/>
      <c r="E7" s="154" t="s">
        <v>58</v>
      </c>
      <c r="F7" s="152"/>
      <c r="G7" s="155"/>
    </row>
    <row r="8" spans="1:7" ht="18.75" customHeight="1" thickBot="1" x14ac:dyDescent="0.3">
      <c r="A8" s="151" t="s">
        <v>57</v>
      </c>
      <c r="B8" s="152"/>
      <c r="C8" s="152"/>
      <c r="D8" s="153"/>
      <c r="E8" s="154" t="s">
        <v>59</v>
      </c>
      <c r="F8" s="152"/>
      <c r="G8" s="155"/>
    </row>
    <row r="9" spans="1:7" ht="18.75" customHeight="1" thickBot="1" x14ac:dyDescent="0.3">
      <c r="A9" s="151" t="s">
        <v>64</v>
      </c>
      <c r="B9" s="152"/>
      <c r="C9" s="152"/>
      <c r="D9" s="153"/>
      <c r="E9" s="154"/>
      <c r="F9" s="152"/>
      <c r="G9" s="155"/>
    </row>
    <row r="10" spans="1:7" ht="18.75" customHeight="1" thickBot="1" x14ac:dyDescent="0.3">
      <c r="A10" s="162" t="s">
        <v>29</v>
      </c>
      <c r="B10" s="163"/>
      <c r="C10" s="163"/>
      <c r="D10" s="163"/>
      <c r="E10" s="163"/>
      <c r="F10" s="163"/>
      <c r="G10" s="164"/>
    </row>
    <row r="11" spans="1:7" ht="30.75" thickBot="1" x14ac:dyDescent="0.3">
      <c r="A11" s="165" t="s">
        <v>30</v>
      </c>
      <c r="B11" s="166"/>
      <c r="C11" s="167" t="s">
        <v>31</v>
      </c>
      <c r="D11" s="166"/>
      <c r="E11" s="167" t="s">
        <v>32</v>
      </c>
      <c r="F11" s="166"/>
      <c r="G11" s="47" t="s">
        <v>66</v>
      </c>
    </row>
    <row r="12" spans="1:7" ht="18.75" customHeight="1" thickBot="1" x14ac:dyDescent="0.3">
      <c r="A12" s="168"/>
      <c r="B12" s="169"/>
      <c r="C12" s="170"/>
      <c r="D12" s="169"/>
      <c r="E12" s="170"/>
      <c r="F12" s="169"/>
      <c r="G12" s="48"/>
    </row>
    <row r="13" spans="1:7" ht="18.75" customHeight="1" thickBot="1" x14ac:dyDescent="0.3">
      <c r="A13" s="162" t="s">
        <v>33</v>
      </c>
      <c r="B13" s="163"/>
      <c r="C13" s="163"/>
      <c r="D13" s="163"/>
      <c r="E13" s="163"/>
      <c r="F13" s="163"/>
      <c r="G13" s="164"/>
    </row>
    <row r="14" spans="1:7" ht="18.75" customHeight="1" thickBot="1" x14ac:dyDescent="0.3">
      <c r="A14" s="45" t="s">
        <v>37</v>
      </c>
      <c r="B14" s="174"/>
      <c r="C14" s="175"/>
      <c r="D14" s="176"/>
      <c r="E14" s="177"/>
      <c r="F14" s="176"/>
      <c r="G14" s="178"/>
    </row>
    <row r="15" spans="1:7" ht="18.75" customHeight="1" thickBot="1" x14ac:dyDescent="0.3">
      <c r="A15" s="45" t="s">
        <v>34</v>
      </c>
      <c r="B15" s="174"/>
      <c r="C15" s="179"/>
      <c r="D15" s="179"/>
      <c r="E15" s="175"/>
      <c r="F15" s="154"/>
      <c r="G15" s="155"/>
    </row>
    <row r="16" spans="1:7" ht="18.75" customHeight="1" thickBot="1" x14ac:dyDescent="0.3">
      <c r="A16" s="162" t="s">
        <v>35</v>
      </c>
      <c r="B16" s="163"/>
      <c r="C16" s="163"/>
      <c r="D16" s="163"/>
      <c r="E16" s="163"/>
      <c r="F16" s="163"/>
      <c r="G16" s="164"/>
    </row>
    <row r="17" spans="1:7" ht="18.75" customHeight="1" x14ac:dyDescent="0.25">
      <c r="A17" s="180" t="s">
        <v>67</v>
      </c>
      <c r="B17" s="181"/>
      <c r="C17" s="181"/>
      <c r="D17" s="181"/>
      <c r="E17" s="181"/>
      <c r="F17" s="181"/>
      <c r="G17" s="182"/>
    </row>
    <row r="18" spans="1:7" ht="18.75" customHeight="1" x14ac:dyDescent="0.25">
      <c r="A18" s="183" t="s">
        <v>68</v>
      </c>
      <c r="B18" s="184"/>
      <c r="C18" s="184"/>
      <c r="D18" s="184"/>
      <c r="E18" s="184"/>
      <c r="F18" s="184"/>
      <c r="G18" s="185"/>
    </row>
    <row r="19" spans="1:7" ht="18.75" customHeight="1" x14ac:dyDescent="0.25">
      <c r="A19" s="186" t="s">
        <v>69</v>
      </c>
      <c r="B19" s="187"/>
      <c r="C19" s="187"/>
      <c r="D19" s="187"/>
      <c r="E19" s="187"/>
      <c r="F19" s="187"/>
      <c r="G19" s="188"/>
    </row>
    <row r="20" spans="1:7" ht="18.75" customHeight="1" x14ac:dyDescent="0.25">
      <c r="A20" s="186"/>
      <c r="B20" s="187"/>
      <c r="C20" s="187"/>
      <c r="D20" s="187"/>
      <c r="E20" s="187"/>
      <c r="F20" s="187"/>
      <c r="G20" s="188"/>
    </row>
    <row r="21" spans="1:7" ht="18.75" customHeight="1" thickBot="1" x14ac:dyDescent="0.3">
      <c r="A21" s="171" t="s">
        <v>54</v>
      </c>
      <c r="B21" s="172"/>
      <c r="C21" s="172"/>
      <c r="D21" s="172"/>
      <c r="E21" s="172"/>
      <c r="F21" s="172"/>
      <c r="G21" s="173"/>
    </row>
    <row r="22" spans="1:7" ht="20.25" customHeight="1" thickTop="1" x14ac:dyDescent="0.25"/>
  </sheetData>
  <mergeCells count="33">
    <mergeCell ref="A21:G21"/>
    <mergeCell ref="A13:G13"/>
    <mergeCell ref="B14:C14"/>
    <mergeCell ref="D14:E14"/>
    <mergeCell ref="F14:G14"/>
    <mergeCell ref="B15:E15"/>
    <mergeCell ref="F15:G15"/>
    <mergeCell ref="A16:G16"/>
    <mergeCell ref="A17:G17"/>
    <mergeCell ref="A18:G18"/>
    <mergeCell ref="A19:G19"/>
    <mergeCell ref="A20:G20"/>
    <mergeCell ref="A10:G10"/>
    <mergeCell ref="A11:B11"/>
    <mergeCell ref="C11:D11"/>
    <mergeCell ref="E11:F11"/>
    <mergeCell ref="A12:B12"/>
    <mergeCell ref="C12:D12"/>
    <mergeCell ref="E12:F12"/>
    <mergeCell ref="A9:D9"/>
    <mergeCell ref="E9:G9"/>
    <mergeCell ref="A1:G1"/>
    <mergeCell ref="A2:G2"/>
    <mergeCell ref="A3:G3"/>
    <mergeCell ref="A4:D4"/>
    <mergeCell ref="E4:G4"/>
    <mergeCell ref="A5:D5"/>
    <mergeCell ref="E5:G5"/>
    <mergeCell ref="A6:G6"/>
    <mergeCell ref="A7:D7"/>
    <mergeCell ref="E7:G7"/>
    <mergeCell ref="A8:D8"/>
    <mergeCell ref="E8:G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Report</vt:lpstr>
      <vt:lpstr>data</vt:lpstr>
      <vt:lpstr>raw</vt:lpstr>
      <vt:lpstr>form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Thi Lanh</dc:creator>
  <cp:lastModifiedBy>admin</cp:lastModifiedBy>
  <dcterms:created xsi:type="dcterms:W3CDTF">2017-02-22T06:31:44Z</dcterms:created>
  <dcterms:modified xsi:type="dcterms:W3CDTF">2017-08-30T09:52:00Z</dcterms:modified>
</cp:coreProperties>
</file>